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10" codeName="{00000000-0000-0000-0000-000000000000}"/>
  <workbookPr codeName="wbCadastros"/>
  <mc:AlternateContent xmlns:mc="http://schemas.openxmlformats.org/markup-compatibility/2006">
    <mc:Choice Requires="x15">
      <x15ac:absPath xmlns:x15ac="http://schemas.microsoft.com/office/spreadsheetml/2010/11/ac" url="C:\Users\Planatec\Downloads\"/>
    </mc:Choice>
  </mc:AlternateContent>
  <xr:revisionPtr revIDLastSave="0" documentId="13_ncr:1_{CB1B7A8B-552B-4822-B86A-92C974F6FAD3}" xr6:coauthVersionLast="47" xr6:coauthVersionMax="47" xr10:uidLastSave="{00000000-0000-0000-0000-000000000000}"/>
  <bookViews>
    <workbookView xWindow="-120" yWindow="-120" windowWidth="20730" windowHeight="11160" tabRatio="733" firstSheet="2" activeTab="2" xr2:uid="{00000000-000D-0000-FFFF-FFFF00000000}"/>
  </bookViews>
  <sheets>
    <sheet name="BANCOS" sheetId="19" r:id="rId1"/>
    <sheet name="EMPRESAS" sheetId="18" r:id="rId2"/>
    <sheet name="CLIENTES" sheetId="9" r:id="rId3"/>
    <sheet name="FAZENDAS" sheetId="12" r:id="rId4"/>
    <sheet name="CULTURAS" sheetId="11" r:id="rId5"/>
    <sheet name="EQUIPAMENTOS" sheetId="14" r:id="rId6"/>
    <sheet name="FORNECEDORES" sheetId="7" r:id="rId7"/>
    <sheet name="PARCEIROS" sheetId="13" r:id="rId8"/>
    <sheet name="FUNCIONARIOS" sheetId="3" r:id="rId9"/>
    <sheet name="SERVICOS" sheetId="10" r:id="rId10"/>
    <sheet name="FUNCOES" sheetId="17" r:id="rId11"/>
    <sheet name="TALHAO" sheetId="22" r:id="rId12"/>
    <sheet name="TEMP_FAZENDAS" sheetId="23" r:id="rId13"/>
    <sheet name="PLANO_CONTAS" sheetId="24" r:id="rId14"/>
    <sheet name="GRUPO" sheetId="25" r:id="rId15"/>
    <sheet name="SUBGRUPO" sheetId="26" r:id="rId16"/>
    <sheet name="CONTAS GERAL" sheetId="6" state="hidden" r:id="rId17"/>
    <sheet name="PLAN_DESPESAS" sheetId="20" state="hidden" r:id="rId18"/>
    <sheet name="REFERENCIAS" sheetId="16" state="hidden" r:id="rId19"/>
    <sheet name="MAPA_DRE" sheetId="21" state="hidden" r:id="rId20"/>
  </sheet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25" l="1"/>
  <c r="C9" i="25"/>
  <c r="C8" i="25"/>
  <c r="C7" i="25"/>
  <c r="C6" i="25"/>
  <c r="C5" i="25"/>
  <c r="C4" i="25"/>
  <c r="C3" i="25"/>
  <c r="F3" i="6"/>
  <c r="F6" i="6"/>
  <c r="F7" i="6"/>
  <c r="F8" i="6"/>
  <c r="F9" i="6"/>
  <c r="F10" i="6"/>
  <c r="F4" i="6"/>
  <c r="F5" i="6"/>
  <c r="C3" i="12"/>
  <c r="C4" i="12"/>
  <c r="K3" i="12"/>
  <c r="K4" i="12"/>
  <c r="J4" i="12"/>
  <c r="J3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ela2 (2)" description="Conexão com a consulta 'Tabela2 (2)' na pasta de trabalho." type="5" refreshedVersion="0" background="1">
    <dbPr connection="Provider=Microsoft.Mashup.OleDb.1;Data Source=$Workbook$;Location=&quot;Tabela2 (2)&quot;" command="SELECT * FROM [Tabela2 (2)]"/>
  </connection>
</connections>
</file>

<file path=xl/sharedStrings.xml><?xml version="1.0" encoding="utf-8"?>
<sst xmlns="http://schemas.openxmlformats.org/spreadsheetml/2006/main" count="3055" uniqueCount="1767">
  <si>
    <t>BANCOS</t>
  </si>
  <si>
    <t>ID</t>
  </si>
  <si>
    <t>EMPRESA</t>
  </si>
  <si>
    <t>DESCRICAO</t>
  </si>
  <si>
    <t>TIPO</t>
  </si>
  <si>
    <t>SALDO_ATUAL</t>
  </si>
  <si>
    <t>SALDO_INICIAL</t>
  </si>
  <si>
    <t>ATIVO</t>
  </si>
  <si>
    <t>Planatec Consultoria</t>
  </si>
  <si>
    <t>Sicoob</t>
  </si>
  <si>
    <t>Corrente</t>
  </si>
  <si>
    <t>Planatec Agro</t>
  </si>
  <si>
    <t>Banco do Brasil</t>
  </si>
  <si>
    <t>EMPRESAS</t>
  </si>
  <si>
    <t>NOME</t>
  </si>
  <si>
    <t>CNPJ</t>
  </si>
  <si>
    <t>Planatec Consultoria e Agricultura de Precisão Ltda</t>
  </si>
  <si>
    <t>07.083.396/0001-27</t>
  </si>
  <si>
    <t>Planatc Agro Ltda</t>
  </si>
  <si>
    <t>45.329.054/0001-33</t>
  </si>
  <si>
    <t>Planatec Projetos Agrícolas</t>
  </si>
  <si>
    <t>36.013.088/0001-23</t>
  </si>
  <si>
    <t>CLIENTES</t>
  </si>
  <si>
    <t>CPF</t>
  </si>
  <si>
    <t>CELULAR</t>
  </si>
  <si>
    <t>TELEFONE</t>
  </si>
  <si>
    <t>RUA</t>
  </si>
  <si>
    <t>NUM</t>
  </si>
  <si>
    <t>COMPLEMENTO</t>
  </si>
  <si>
    <t>BAIRRO</t>
  </si>
  <si>
    <t>CEP</t>
  </si>
  <si>
    <t>CIDADE</t>
  </si>
  <si>
    <t>UF</t>
  </si>
  <si>
    <t>CREDITO</t>
  </si>
  <si>
    <t>DATACAD</t>
  </si>
  <si>
    <t>ADAUTO DE ABREU REIS</t>
  </si>
  <si>
    <t>654.909.596-49</t>
  </si>
  <si>
    <t>(35) 9 9931-5556</t>
  </si>
  <si>
    <t>FAZENDA CAPETINGA</t>
  </si>
  <si>
    <t/>
  </si>
  <si>
    <t xml:space="preserve">ZONA RURAL </t>
  </si>
  <si>
    <t>37170-000</t>
  </si>
  <si>
    <t>BOA ESPERANÇA</t>
  </si>
  <si>
    <t>MG</t>
  </si>
  <si>
    <t>ADELINO MARQUES ALVES</t>
  </si>
  <si>
    <t>007.545.736-99</t>
  </si>
  <si>
    <t>(35) 9 9108-7337</t>
  </si>
  <si>
    <t>RUA DONA RITINHA</t>
  </si>
  <si>
    <t>ALTO DO CRUZEIRO</t>
  </si>
  <si>
    <t>37280-000</t>
  </si>
  <si>
    <t>CANDEIAS</t>
  </si>
  <si>
    <t>ADILSON TEODORO DE FARIA</t>
  </si>
  <si>
    <t>768.317.956-68</t>
  </si>
  <si>
    <t>(37) 9 9845-0042</t>
  </si>
  <si>
    <t>RUA JOAO PEDRO MACHADO</t>
  </si>
  <si>
    <t>CENTRO</t>
  </si>
  <si>
    <t>35582-000</t>
  </si>
  <si>
    <t>PAINS</t>
  </si>
  <si>
    <t>ADNILSI FERREIRA DE SOUZA E OUTROS</t>
  </si>
  <si>
    <t>041.735.916-08</t>
  </si>
  <si>
    <t>(35) 9 9834-2454</t>
  </si>
  <si>
    <t>FAZENDA MATO DA CRUZ</t>
  </si>
  <si>
    <t>AGROPECUARIA 2N LTDA</t>
  </si>
  <si>
    <t>10.819.511/0001-93</t>
  </si>
  <si>
    <t xml:space="preserve">CANDEIAS </t>
  </si>
  <si>
    <t>AGROPECUARIA GRANDE LAGO LTDA</t>
  </si>
  <si>
    <t>09.143.323/0001-09</t>
  </si>
  <si>
    <t>(37) 9 9127-4700</t>
  </si>
  <si>
    <t>RODOVIA MG 050 KM 104</t>
  </si>
  <si>
    <t>35695-000</t>
  </si>
  <si>
    <t>IGARATINGA</t>
  </si>
  <si>
    <t>AGROPECUARIA JM LTDA</t>
  </si>
  <si>
    <t>26.192.575/0002-28</t>
  </si>
  <si>
    <t>(35) 9 8834-0557</t>
  </si>
  <si>
    <t>RODOVIA BOA ESPERANÇA/CAMPOS GERAIS - KM 21 A DIREITA</t>
  </si>
  <si>
    <t>37160-000</t>
  </si>
  <si>
    <t>CAMPOS GERAIS</t>
  </si>
  <si>
    <t>AGROPECUARIA MONSENHOR FRANCISCO FIGUEIREDO LTDA</t>
  </si>
  <si>
    <t>28.787.246/0001-74</t>
  </si>
  <si>
    <t>(35) 9 8413-6149</t>
  </si>
  <si>
    <t>FAZENDA MATO GROSSO</t>
  </si>
  <si>
    <t>03717-500</t>
  </si>
  <si>
    <t>ILICÍNEA</t>
  </si>
  <si>
    <t>AGROPECUARIA PONTE GRANDE LTDA</t>
  </si>
  <si>
    <t>22.454.066/0001-94</t>
  </si>
  <si>
    <t>(11) 9 8966-0001</t>
  </si>
  <si>
    <t>Rodovia Guapé, Volta Grande KM 23</t>
  </si>
  <si>
    <t>37177-000</t>
  </si>
  <si>
    <t>GUAPÉ</t>
  </si>
  <si>
    <t>AGROSYSTEM INDUSTRIA, COMERCIO</t>
  </si>
  <si>
    <t>61.211.470/0001-99</t>
  </si>
  <si>
    <t>(16) 9 9127-2008</t>
  </si>
  <si>
    <t>(16) 3434-3800</t>
  </si>
  <si>
    <t>RUA JOSE ANTONIO ROSAS</t>
  </si>
  <si>
    <t>PARQUE INDUSTRIAL LAGOINHA</t>
  </si>
  <si>
    <t>14095-160</t>
  </si>
  <si>
    <t>RIBEIRAO PRETO</t>
  </si>
  <si>
    <t>SP</t>
  </si>
  <si>
    <t>AILTON ANTONIO RODRIGUES</t>
  </si>
  <si>
    <t>528.490.906-20</t>
  </si>
  <si>
    <t>(37) 9 9949-9114</t>
  </si>
  <si>
    <t>RUA ALPINOPOLIS</t>
  </si>
  <si>
    <t>LAGOA DE TRÁS</t>
  </si>
  <si>
    <t>37925-000</t>
  </si>
  <si>
    <t>PIUMHI</t>
  </si>
  <si>
    <t>ALDO FERREIRA DA FONSECA</t>
  </si>
  <si>
    <t>127.898.956-00</t>
  </si>
  <si>
    <t>(37) 9 8827-4549</t>
  </si>
  <si>
    <t>RUA PADRE JOÃO</t>
  </si>
  <si>
    <t>35530-000</t>
  </si>
  <si>
    <t>CLAÚDIO</t>
  </si>
  <si>
    <t>ALESANCO BRANDON RODRIGUES DOMINGOS</t>
  </si>
  <si>
    <t>079.702.516-25</t>
  </si>
  <si>
    <t>(37) 9 9967-6776</t>
  </si>
  <si>
    <t>35585-000</t>
  </si>
  <si>
    <t>PIMENTA</t>
  </si>
  <si>
    <t>ALESSANDRO SILVA DE OLIVEIRA E OUTROS</t>
  </si>
  <si>
    <t>495.437.766-87</t>
  </si>
  <si>
    <t>(37) 99983-3670</t>
  </si>
  <si>
    <t>RUA PARA DE MINAS</t>
  </si>
  <si>
    <t>ALEX ANTÔNIO ALAIÃO</t>
  </si>
  <si>
    <t>077.813.086-03</t>
  </si>
  <si>
    <t>(37) 99861-3945</t>
  </si>
  <si>
    <t>ALEXANDRE ARAUJO DE RESENDE</t>
  </si>
  <si>
    <t>278.548.416-91</t>
  </si>
  <si>
    <t>(31) 9 9870-3933</t>
  </si>
  <si>
    <t>FAZENDA SÃO PEDRO</t>
  </si>
  <si>
    <t>35570-000</t>
  </si>
  <si>
    <t>FORMIGA</t>
  </si>
  <si>
    <t>ALEXANDRE GARCIA FRIACA</t>
  </si>
  <si>
    <t>110.315.806-62</t>
  </si>
  <si>
    <t>(37) 9 8803-5623</t>
  </si>
  <si>
    <t>PRAÇA PADRE ALBERTO</t>
  </si>
  <si>
    <t>35555-000</t>
  </si>
  <si>
    <t>CAMACHO</t>
  </si>
  <si>
    <t>ALEXANDRE GOMES DA SILVA ALVES</t>
  </si>
  <si>
    <t>967.715.506-72</t>
  </si>
  <si>
    <t>(37) 9 9930-1167</t>
  </si>
  <si>
    <t>FAZENDA PIRANHAS 2</t>
  </si>
  <si>
    <t>35588-000</t>
  </si>
  <si>
    <t>ARCOS</t>
  </si>
  <si>
    <t>ALFREDO DONIZETTI SANTOS</t>
  </si>
  <si>
    <t>035.949.156-11</t>
  </si>
  <si>
    <t>FAZENDA CAXAMBU</t>
  </si>
  <si>
    <t>ALFREDO RANIERI OLIVEIRA</t>
  </si>
  <si>
    <t>047.538.276-58</t>
  </si>
  <si>
    <t>(37) 9 9922-7779</t>
  </si>
  <si>
    <t>FAZENDA QUARTÉIS</t>
  </si>
  <si>
    <t>ÁLVARO ANDRÉ PINTO FRANCINO</t>
  </si>
  <si>
    <t>934.222.616-72</t>
  </si>
  <si>
    <t>(37) 9 9194-1488</t>
  </si>
  <si>
    <t>FAZENDA SANTA TEREZINHA</t>
  </si>
  <si>
    <t>ÁLVARO FURTADO DE ANDRADE E OUTROS</t>
  </si>
  <si>
    <t>449.005.116-68</t>
  </si>
  <si>
    <t>(37) 9 8831-6979</t>
  </si>
  <si>
    <t>RODOVIA BR 354 KM 460</t>
  </si>
  <si>
    <t>CALCIOLÂNDIA</t>
  </si>
  <si>
    <t>AMALIA DARCY GONCALVES TOME EO</t>
  </si>
  <si>
    <t>508.675.806-82</t>
  </si>
  <si>
    <t>FAZENDA AGUA LIMPA</t>
  </si>
  <si>
    <t>ANA MARIA DINIZ BARBOSA FARIA</t>
  </si>
  <si>
    <t>815.376.466-72</t>
  </si>
  <si>
    <t>BOA ESPERANÇA VIA ILICÍNEA, KM 03</t>
  </si>
  <si>
    <t>ANDRÉ CARVALHO VILELA</t>
  </si>
  <si>
    <t>638.853.526-72</t>
  </si>
  <si>
    <t>(35) 9 9707-2708</t>
  </si>
  <si>
    <t>RUA ALVARO BATISTA FIGUEIREDO</t>
  </si>
  <si>
    <t>ANDRÉ VASCONCELOS SOARES E OUTROS</t>
  </si>
  <si>
    <t>821.449.666-72</t>
  </si>
  <si>
    <t>(35) 9 8895-8299</t>
  </si>
  <si>
    <t>ESTRADA CAVACO/BARRANCO ALTO KM 14</t>
  </si>
  <si>
    <t>37130-000</t>
  </si>
  <si>
    <t>ALFENAS</t>
  </si>
  <si>
    <t>ANTONIO CARLOS DE ANDRADE CHINET</t>
  </si>
  <si>
    <t>786.146.008-87</t>
  </si>
  <si>
    <t>(37) 9 9803-8788</t>
  </si>
  <si>
    <t>FAZENDA NOSSA SENHORA DAS GRAÇAS</t>
  </si>
  <si>
    <t>ANTONIO CARLOS DE OLIVEIRA</t>
  </si>
  <si>
    <t>853.513.506-53</t>
  </si>
  <si>
    <t>(37) 9 9915-3920</t>
  </si>
  <si>
    <t>Rua Doutor Melo Viana</t>
  </si>
  <si>
    <t>NAÇÕES</t>
  </si>
  <si>
    <t>35595-000</t>
  </si>
  <si>
    <t>LUZ</t>
  </si>
  <si>
    <t>ANTONIO DE OLIVEIRA</t>
  </si>
  <si>
    <t>254.151.746-72</t>
  </si>
  <si>
    <t>JOAO JOVINO</t>
  </si>
  <si>
    <t>NOVO HORIZONTE</t>
  </si>
  <si>
    <t>ANTONIO GIL DE MACEDO</t>
  </si>
  <si>
    <t>030.654.816-00</t>
  </si>
  <si>
    <t>(37) 9 9983-3290</t>
  </si>
  <si>
    <t xml:space="preserve">RUA IDEU BRANDO CLAQUI </t>
  </si>
  <si>
    <t>ANTÔNIO LARA</t>
  </si>
  <si>
    <t>ARIANE RAQUEL DE OLIVEIRA E OUTROS</t>
  </si>
  <si>
    <t>420.547.418-09</t>
  </si>
  <si>
    <t>FAZENDA CAMPO ALEGRE BURACA</t>
  </si>
  <si>
    <t>37928-000</t>
  </si>
  <si>
    <t>SAO ROQUE DE MINAS</t>
  </si>
  <si>
    <t>AROLDO TEODORO CAMPOS</t>
  </si>
  <si>
    <t>567.008.736-49</t>
  </si>
  <si>
    <t>(31) 9 8482 9223</t>
  </si>
  <si>
    <t>FAZENDA FLEXAS</t>
  </si>
  <si>
    <t>39290-000</t>
  </si>
  <si>
    <t>SAO ROMÃO</t>
  </si>
  <si>
    <t>ARTUR OTAVIO DE OLIVEIRA NETO</t>
  </si>
  <si>
    <t>078.100.616-31</t>
  </si>
  <si>
    <t>(37) 9 9198-1516</t>
  </si>
  <si>
    <t>RUA DOM MANOEL</t>
  </si>
  <si>
    <t>ASTOR ROBERTO STROSCHON</t>
  </si>
  <si>
    <t>397.801.801-25</t>
  </si>
  <si>
    <t>(61) 9 9982-1885</t>
  </si>
  <si>
    <t>AVENIDA PERO VALADARES VERSIANE</t>
  </si>
  <si>
    <t>CANAÃ</t>
  </si>
  <si>
    <t>38660-000</t>
  </si>
  <si>
    <t>BURITIS</t>
  </si>
  <si>
    <t>AUGUSTO VILELA DE SOUZA</t>
  </si>
  <si>
    <t>082.641.176-27</t>
  </si>
  <si>
    <t>(35) 9 9758-2948</t>
  </si>
  <si>
    <t>FAZENDA MATA DO PARAÍSO</t>
  </si>
  <si>
    <t>AURELIO BARBOSA DE FARIA</t>
  </si>
  <si>
    <t>563.883.576-87</t>
  </si>
  <si>
    <t>(35) 9 8825-5577</t>
  </si>
  <si>
    <t>FAZENDA VALLE VERDE</t>
  </si>
  <si>
    <t>BERNARDO TOLENTINO PACHECO DE MEDEIROS</t>
  </si>
  <si>
    <t>089.441.036-90</t>
  </si>
  <si>
    <t>FAZENDA DO RELÓGIO</t>
  </si>
  <si>
    <t>BERNARDO VIANNA PESSOA DE MENDONÇA</t>
  </si>
  <si>
    <t>355.432.216-49</t>
  </si>
  <si>
    <t>(31) 9 8808-7770</t>
  </si>
  <si>
    <t>RUA TURIBATE</t>
  </si>
  <si>
    <t>SION</t>
  </si>
  <si>
    <t>30315-410</t>
  </si>
  <si>
    <t>BELO HORIZONTE</t>
  </si>
  <si>
    <t>BRENDO MAX FARIA SILVA</t>
  </si>
  <si>
    <t>107.989.846-86</t>
  </si>
  <si>
    <t>(37) 9 9138-5089</t>
  </si>
  <si>
    <t>RUA MARANHÃO</t>
  </si>
  <si>
    <t>ALVORADA</t>
  </si>
  <si>
    <t>35572-046</t>
  </si>
  <si>
    <t>BRENO HENRIQUE DE FARIA ALVES</t>
  </si>
  <si>
    <t>059.915.146-31</t>
  </si>
  <si>
    <t>(37) 9 9926-8393</t>
  </si>
  <si>
    <t>CAIXA POSTAL 121</t>
  </si>
  <si>
    <t>BRUNA SOARES DE OLIVEIRA</t>
  </si>
  <si>
    <t>085.137.286-40</t>
  </si>
  <si>
    <t>(37) 9 9939-1605</t>
  </si>
  <si>
    <t>FAZENDA QUIABO ASSADO</t>
  </si>
  <si>
    <t>35560-000</t>
  </si>
  <si>
    <t>SANTO ANTÔNIO DO MONTE</t>
  </si>
  <si>
    <t>CAFE BRASIL INDUSTRIA COMERCIO</t>
  </si>
  <si>
    <t>01.486.546/0001-67</t>
  </si>
  <si>
    <t>(35) 9 8802-0555</t>
  </si>
  <si>
    <t>ALBERTO VIEIRA ROMÃO</t>
  </si>
  <si>
    <t>DISTRITO INDUSTRIAL</t>
  </si>
  <si>
    <t>37135-516</t>
  </si>
  <si>
    <t>CARLA APARECIDA SILVA</t>
  </si>
  <si>
    <t>049.355.466-11</t>
  </si>
  <si>
    <t>RUA VEJA</t>
  </si>
  <si>
    <t>JARDIM SATELITE</t>
  </si>
  <si>
    <t>37904-040</t>
  </si>
  <si>
    <t>PASSOS</t>
  </si>
  <si>
    <t>CARLOS ALBERTO FERREIRA FREIRE</t>
  </si>
  <si>
    <t>432.044.306-34</t>
  </si>
  <si>
    <t>(35) 9 9938-1305</t>
  </si>
  <si>
    <t xml:space="preserve">RUA JOÃO RODARTE </t>
  </si>
  <si>
    <t>VILA AUGUSTO RIBEIRO</t>
  </si>
  <si>
    <t>37270-000</t>
  </si>
  <si>
    <t>CAMPO BELO</t>
  </si>
  <si>
    <t>CARLOS ALBERTO ROSA</t>
  </si>
  <si>
    <t>357.266.016-53</t>
  </si>
  <si>
    <t>FAZENDA REUNIDAS SANTA ROSA 2</t>
  </si>
  <si>
    <t>38900-000</t>
  </si>
  <si>
    <t>BAMBUÍ</t>
  </si>
  <si>
    <t>CASSIO GERALDO SILVA</t>
  </si>
  <si>
    <t>034.710.536-03</t>
  </si>
  <si>
    <t>(37) 9 9194-6751</t>
  </si>
  <si>
    <t>PRAÇA ANTÔNIO LEITE</t>
  </si>
  <si>
    <t>35600-000</t>
  </si>
  <si>
    <t>BOM DESPACHO</t>
  </si>
  <si>
    <t>CELSO MENDONÇA JUNQUEIRA</t>
  </si>
  <si>
    <t>732.476.696-04</t>
  </si>
  <si>
    <t>(35) 99973-0136</t>
  </si>
  <si>
    <t>RUA SAULO CHAVES DE FIGUEIREDO</t>
  </si>
  <si>
    <t>37235-000</t>
  </si>
  <si>
    <t>COQUEIRAL</t>
  </si>
  <si>
    <t>CLAUDECI DIVINO DE ARAUJO</t>
  </si>
  <si>
    <t>605.294.906-68</t>
  </si>
  <si>
    <t>(37) 9 9984-2341</t>
  </si>
  <si>
    <t>RUA XV DE NOVEMBRO</t>
  </si>
  <si>
    <t>SÃO ROQUE DE MINAS</t>
  </si>
  <si>
    <t>CLAUDIO VILELA REIS</t>
  </si>
  <si>
    <t>031.431.216-10</t>
  </si>
  <si>
    <t>(35) 9 8852-3818</t>
  </si>
  <si>
    <t>RUA DR ARMANDO MEINBERG</t>
  </si>
  <si>
    <t>CLELIA MARIA DE OLIVEIRA</t>
  </si>
  <si>
    <t>930.687.786-20</t>
  </si>
  <si>
    <t xml:space="preserve">AVENIDA PROFESSOR LULU </t>
  </si>
  <si>
    <t>BELA VISTA</t>
  </si>
  <si>
    <t>COMAPE COMERCIAL AGRICOLA PECU</t>
  </si>
  <si>
    <t>18.553.867/0001-30</t>
  </si>
  <si>
    <t>(37) 9 9986-3314</t>
  </si>
  <si>
    <t>AVENIDA MARACANA</t>
  </si>
  <si>
    <t>ROSÁRIO OLIVEIRA</t>
  </si>
  <si>
    <t>35540-000</t>
  </si>
  <si>
    <t>OLIVEIRA</t>
  </si>
  <si>
    <t>CONCESSIO BATISTA DA COSTA</t>
  </si>
  <si>
    <t>041.734.736-72</t>
  </si>
  <si>
    <t>RUA CORONEL JOSE GONÇALVES</t>
  </si>
  <si>
    <t>CRISTIANO MENDONCA JUNQUEIRA</t>
  </si>
  <si>
    <t>041.424.416-80</t>
  </si>
  <si>
    <t>(37) 9 9931-8608</t>
  </si>
  <si>
    <t>FAZENDA OURO VERDE</t>
  </si>
  <si>
    <t>DALTON GARCIA PEREIRA</t>
  </si>
  <si>
    <t>510.937.906-87</t>
  </si>
  <si>
    <t>(37) 9 8856-2010</t>
  </si>
  <si>
    <t>AVENIDA JOAO PAULINEI DE CARVALHO</t>
  </si>
  <si>
    <t>DALTON TELES LEAO</t>
  </si>
  <si>
    <t>438.456.736-72</t>
  </si>
  <si>
    <t>(37) 9 9988-5200</t>
  </si>
  <si>
    <t>RUA OITO</t>
  </si>
  <si>
    <t>38910-000</t>
  </si>
  <si>
    <t>IGUATAMA</t>
  </si>
  <si>
    <t>DANIEL BATISTA DE MELO</t>
  </si>
  <si>
    <t>080.208.056-13</t>
  </si>
  <si>
    <t>(37) 9 9928-0001</t>
  </si>
  <si>
    <t>RUA SARGENTO VALERIO</t>
  </si>
  <si>
    <t>PORTO VELHO</t>
  </si>
  <si>
    <t>35500-435</t>
  </si>
  <si>
    <t>DIVINOPÓLIS</t>
  </si>
  <si>
    <t>DANIEL DE FARIA BRITO</t>
  </si>
  <si>
    <t>047.164.116-21</t>
  </si>
  <si>
    <t>(35) 9 9750-3456</t>
  </si>
  <si>
    <t>TRAVESSA DAS FLORES</t>
  </si>
  <si>
    <t>37190-000</t>
  </si>
  <si>
    <t>TRÊS PONTAS</t>
  </si>
  <si>
    <t>DANIEL EDUARDO LACERDA BRAGA</t>
  </si>
  <si>
    <t>887.075.806-06</t>
  </si>
  <si>
    <t>(37) 9 9972-4015</t>
  </si>
  <si>
    <t>FAZENDA BOM SUCESSO-PONTE</t>
  </si>
  <si>
    <t>35613-000</t>
  </si>
  <si>
    <t>ESTRELA DO INDAIÁ</t>
  </si>
  <si>
    <t>DANIEL HENRIQUE DINIZ E SILVA</t>
  </si>
  <si>
    <t>101.315.106-22</t>
  </si>
  <si>
    <t>FAZENDA NOVA GAMELEIRA</t>
  </si>
  <si>
    <t>35543-000</t>
  </si>
  <si>
    <t>SAO FRANCISCO DE PAULA</t>
  </si>
  <si>
    <t>DANILO MACHADO CAETANO</t>
  </si>
  <si>
    <t>039.448.716-85</t>
  </si>
  <si>
    <t>(37) 9 9987-8591</t>
  </si>
  <si>
    <t>RUA ANTONIO SANSONE</t>
  </si>
  <si>
    <t>JARDIM SANTO ANTÔNIO</t>
  </si>
  <si>
    <t>DARCI JOSE DO COUTO</t>
  </si>
  <si>
    <t>037.156.026-86</t>
  </si>
  <si>
    <t>(37) 9 9986-1039</t>
  </si>
  <si>
    <t>FAZENDA DO COUTO</t>
  </si>
  <si>
    <t>DARLI DE CASTRO OLIVEIRA</t>
  </si>
  <si>
    <t>768.319.146-91</t>
  </si>
  <si>
    <t>RUA MAURICIO DE ANDRADE</t>
  </si>
  <si>
    <t>DEIVADY CLISTI FARIA</t>
  </si>
  <si>
    <t>118.078.786-27</t>
  </si>
  <si>
    <t>(37) 9 9838-5599</t>
  </si>
  <si>
    <t>PINHEIRO</t>
  </si>
  <si>
    <t>DIEGO BARBOSA DE FARIA BRITO</t>
  </si>
  <si>
    <t>065.543.286-88</t>
  </si>
  <si>
    <t>(35) 9 8838-2786</t>
  </si>
  <si>
    <t>Rod. Boa Esperança a Carmo do Rio Claro, km 39 á direita</t>
  </si>
  <si>
    <t>DONIZETE GERALDO LEITE</t>
  </si>
  <si>
    <t>726.298.436-53</t>
  </si>
  <si>
    <t>(37) 9 9986-6440</t>
  </si>
  <si>
    <t>RUA JOAO ARANTES</t>
  </si>
  <si>
    <t>DRAYTON GUELLI</t>
  </si>
  <si>
    <t>045.907.766-00</t>
  </si>
  <si>
    <t>(37) 9 9968-1525</t>
  </si>
  <si>
    <t>FAZENDA JATOBA</t>
  </si>
  <si>
    <t>EDGLEY MARTINS ROCHA</t>
  </si>
  <si>
    <t>044.564.336-63</t>
  </si>
  <si>
    <t>(37) 99918-1515</t>
  </si>
  <si>
    <t>FAZENDA BOA VISTA</t>
  </si>
  <si>
    <t>EDNARDO GARCIA RODRIGUES</t>
  </si>
  <si>
    <t>068.029.116-47</t>
  </si>
  <si>
    <t>(37) 9 9931-8922</t>
  </si>
  <si>
    <t>RUA ANTONIO FELIPE DE ANDRADE</t>
  </si>
  <si>
    <t>ELDOURADO</t>
  </si>
  <si>
    <t>EDSON LUIS GAVIOLI</t>
  </si>
  <si>
    <t>263.832.428-06</t>
  </si>
  <si>
    <t>RUA DA REPUBLICA</t>
  </si>
  <si>
    <t>15900-000</t>
  </si>
  <si>
    <t>SÃO PAULO</t>
  </si>
  <si>
    <t>EDSON LUIZ IGNACIO</t>
  </si>
  <si>
    <t>08.005.237/0001-77</t>
  </si>
  <si>
    <t>(15) 3255-1609</t>
  </si>
  <si>
    <t>FAZENDA SÃO LUIZ DO PINHAL</t>
  </si>
  <si>
    <t>18240-000</t>
  </si>
  <si>
    <t>ANGATUBA</t>
  </si>
  <si>
    <t>EDUARDO MUNIZ DE LIMA</t>
  </si>
  <si>
    <t>731.445.096-04</t>
  </si>
  <si>
    <t>(35) 3291-3760</t>
  </si>
  <si>
    <t>RUA JOSE DELMIRO DOS SANTOS</t>
  </si>
  <si>
    <t>JARDIM SANTA INÊS</t>
  </si>
  <si>
    <t>37132-156</t>
  </si>
  <si>
    <t>ELIAS CALDEIRA</t>
  </si>
  <si>
    <t>045.654.826-22</t>
  </si>
  <si>
    <t>(37) 9 9869-5577</t>
  </si>
  <si>
    <t>EURÍPEDES DE MELO</t>
  </si>
  <si>
    <t>CANDOLAS</t>
  </si>
  <si>
    <t>ELIENIO DELFINO COSTA E OUTROS</t>
  </si>
  <si>
    <t>045.655.306-19</t>
  </si>
  <si>
    <t>(37) 9 9824-2439</t>
  </si>
  <si>
    <t>ESTRADA SÃO SEBASTIÃO DO OESTE</t>
  </si>
  <si>
    <t>35567-000</t>
  </si>
  <si>
    <t>SÃO SEBASTIÃO DO OESTE</t>
  </si>
  <si>
    <t>ELISEU DE SA RIBEIRO</t>
  </si>
  <si>
    <t>013.160.886-00</t>
  </si>
  <si>
    <t>FAZENDA MORRO CAVADO</t>
  </si>
  <si>
    <t>ELIZABETH MARIA DIAS BARBOSA FREIRE E OUTROS</t>
  </si>
  <si>
    <t>009.895.126-22</t>
  </si>
  <si>
    <t>(35) 9 9945-0056</t>
  </si>
  <si>
    <t>RUA PRESIDENTE GETULIO VARGAS</t>
  </si>
  <si>
    <t>EMILIO CAETANO COSTA</t>
  </si>
  <si>
    <t>004.546.036-14</t>
  </si>
  <si>
    <t>(37) 9 9957-2681</t>
  </si>
  <si>
    <t>RUA CELSO GONÇALVES</t>
  </si>
  <si>
    <t>ERNANI REIS JUNIOR</t>
  </si>
  <si>
    <t>462.496.486-15</t>
  </si>
  <si>
    <t>(37) 9 9981-5487</t>
  </si>
  <si>
    <t>RUA LICERIO NEVES</t>
  </si>
  <si>
    <t>SÃO FRANCISCO</t>
  </si>
  <si>
    <t>ESTEVÃO LUIS MAGALHAES SILVA</t>
  </si>
  <si>
    <t>046.328.706-17</t>
  </si>
  <si>
    <t>(37) 9 8855-8876</t>
  </si>
  <si>
    <t>PCA DOM MANUEL</t>
  </si>
  <si>
    <t>35580-000</t>
  </si>
  <si>
    <t>JAPARAÍBA</t>
  </si>
  <si>
    <t>EUGENIO EDUARDO FIGUEIREDO JUNIOR E OUTROS</t>
  </si>
  <si>
    <t>072.566.176-31</t>
  </si>
  <si>
    <t>(31) 9 8266-9628</t>
  </si>
  <si>
    <t>VIA CAMPOS GERAIS A PARAÍSO</t>
  </si>
  <si>
    <t>EUGENIO ROSSI DE FIGUEIREDO SOUZA</t>
  </si>
  <si>
    <t>457.823.936-53</t>
  </si>
  <si>
    <t>(35)98881-5242</t>
  </si>
  <si>
    <t>FAZENDA SÃO SEBASTIÃO</t>
  </si>
  <si>
    <t>EUGENIO VIEIRA GABRIEL</t>
  </si>
  <si>
    <t>122.346.466-00</t>
  </si>
  <si>
    <t>RUA TENENTE ANTÔNIO JOAQUIM DE BARROS</t>
  </si>
  <si>
    <t>VOLTA DO BREJO</t>
  </si>
  <si>
    <t>35640-000</t>
  </si>
  <si>
    <t>POMPÉU</t>
  </si>
  <si>
    <t>EVANDRO GIOVANE SILVA</t>
  </si>
  <si>
    <t>795.323.656-72</t>
  </si>
  <si>
    <t>(37) 9 9842-0069</t>
  </si>
  <si>
    <t>RUA DIVINOPOLIS</t>
  </si>
  <si>
    <t>EVANDRO HONORATO DA SILVA</t>
  </si>
  <si>
    <t>364.835.596-15</t>
  </si>
  <si>
    <t>EVANDRO PORTUGAL LEMOS</t>
  </si>
  <si>
    <t>093.942.901-25</t>
  </si>
  <si>
    <t>(31) 9 8623-0142</t>
  </si>
  <si>
    <t>RUA JULIETA DOS REIS NAVES</t>
  </si>
  <si>
    <t>APTO 202</t>
  </si>
  <si>
    <t>EXPEDITO EUSTAQUIO COELHO</t>
  </si>
  <si>
    <t>054.883.706-68</t>
  </si>
  <si>
    <t>(37) 9 9136-0153</t>
  </si>
  <si>
    <t>RUA IGUATAMA - ATE 1149/1150</t>
  </si>
  <si>
    <t>APTO 301</t>
  </si>
  <si>
    <t>BOM PASTOR</t>
  </si>
  <si>
    <t>35500-189</t>
  </si>
  <si>
    <t>EXPEDITO GONÇALVES DE SOUZA E OUTROS</t>
  </si>
  <si>
    <t>041.587.506-44</t>
  </si>
  <si>
    <t>(37) 9 9938-6506</t>
  </si>
  <si>
    <t>FAZENDA SABARÁ</t>
  </si>
  <si>
    <t>35550-000</t>
  </si>
  <si>
    <t>ITAPECERICA</t>
  </si>
  <si>
    <t>FÁBIO FREITAS DE BRITO</t>
  </si>
  <si>
    <t>012.692.046-02</t>
  </si>
  <si>
    <t>(35) 9 9942-9654</t>
  </si>
  <si>
    <t>FAZENDA CONCEIÇÃO</t>
  </si>
  <si>
    <t>FABIO JUNIO DA SILVA</t>
  </si>
  <si>
    <t>060.969.866-41</t>
  </si>
  <si>
    <t>FAZENDA SÃO PAULO LTDA</t>
  </si>
  <si>
    <t>21.596.517/0001-65</t>
  </si>
  <si>
    <t>RODOVIA FERNÃO DIAS BR 381 KM 634</t>
  </si>
  <si>
    <t>CAIXA POSTAL 45</t>
  </si>
  <si>
    <t>FAZENDAS NOSSA SENHORA DA GUIA AS</t>
  </si>
  <si>
    <t>01.056.140/0002-25</t>
  </si>
  <si>
    <t>(37) 9 9165-3031</t>
  </si>
  <si>
    <t>Rua Getúlio Vargas</t>
  </si>
  <si>
    <t>CRUZEIRO</t>
  </si>
  <si>
    <t>FELIPE AUGUSTO DINIZ GONCALVES</t>
  </si>
  <si>
    <t>062.580.586-04</t>
  </si>
  <si>
    <t>(37) 9 9987-5361</t>
  </si>
  <si>
    <t>AVENIDA PRIMEIRO DE JUNHO</t>
  </si>
  <si>
    <t>APTO 1201</t>
  </si>
  <si>
    <t>35500-000</t>
  </si>
  <si>
    <t>FERNANDO REIS PEREIRA</t>
  </si>
  <si>
    <t>076.425.906-79</t>
  </si>
  <si>
    <t>(35) 9 9924-7692</t>
  </si>
  <si>
    <t>GUARANESIA - MATÃO A 14 KM</t>
  </si>
  <si>
    <t>37810-000</t>
  </si>
  <si>
    <t>GUARANESIA</t>
  </si>
  <si>
    <t>FLAVIO JUNIOR DOMINGOS</t>
  </si>
  <si>
    <t>015.477.276-32</t>
  </si>
  <si>
    <t>(37) 99803-9352</t>
  </si>
  <si>
    <t>FAZENDA PAIS E FILHOS</t>
  </si>
  <si>
    <t>FLAVIO LOPES TRINDADE</t>
  </si>
  <si>
    <t>013.883.836-40</t>
  </si>
  <si>
    <t>(35) 99976-5066</t>
  </si>
  <si>
    <t>FAZENDA CAPOEIRA GRANDE</t>
  </si>
  <si>
    <t>FLAVIO LUIZ DE LARA</t>
  </si>
  <si>
    <t>041.861.176-91</t>
  </si>
  <si>
    <t>(35) 99837-8418</t>
  </si>
  <si>
    <t>FAZENDA COSTA</t>
  </si>
  <si>
    <t>FLORESTA DA CANASTRA LTDA ME</t>
  </si>
  <si>
    <t>14.278.927/0001-00</t>
  </si>
  <si>
    <t xml:space="preserve">(37) 9 9803-0009 </t>
  </si>
  <si>
    <t>(37) 3371-7195</t>
  </si>
  <si>
    <t xml:space="preserve">Rua Miguel Couto </t>
  </si>
  <si>
    <t>FRANCISCO CARLOS DE OLIVEIRA</t>
  </si>
  <si>
    <t>396.969.876-68</t>
  </si>
  <si>
    <t>(37) 9 9934-2811</t>
  </si>
  <si>
    <t>APTO B</t>
  </si>
  <si>
    <t>FRANCISCO DE ASSIS PEREIRA</t>
  </si>
  <si>
    <t>515.181.716-72</t>
  </si>
  <si>
    <t xml:space="preserve">RUA RAUL DA COSTA LIMA </t>
  </si>
  <si>
    <t>GABRIEL NOVAIS ANDRE</t>
  </si>
  <si>
    <t>128.814.416-45</t>
  </si>
  <si>
    <t>FAZENDA SOBRADINHO - PORTO VELHO</t>
  </si>
  <si>
    <t>GECAL INDUSTRIA E COMERCIO DE PRODUTOS MIN. LTDA</t>
  </si>
  <si>
    <t>20.302.873/0016-42</t>
  </si>
  <si>
    <t>(37) 9 9820-8812</t>
  </si>
  <si>
    <t>FAZENDA LOANDA V</t>
  </si>
  <si>
    <t>GEOPLANTA COMERCIO DE MAQUINAS</t>
  </si>
  <si>
    <t>13.205.185/0001-12</t>
  </si>
  <si>
    <t>(17) 9 9717-7027</t>
  </si>
  <si>
    <t>(17) 3043 5759</t>
  </si>
  <si>
    <t>AVENIDA 15</t>
  </si>
  <si>
    <t>AMÉRICA</t>
  </si>
  <si>
    <t>14783-066</t>
  </si>
  <si>
    <t>BARRETOS</t>
  </si>
  <si>
    <t>GERALDO MAGELA DA MATA</t>
  </si>
  <si>
    <t>515.776.406-59</t>
  </si>
  <si>
    <t>(37) 9 9906-3109</t>
  </si>
  <si>
    <t>SITIO PASTO DO GALDINO</t>
  </si>
  <si>
    <t>GERALDO MAGELA DE MACEDO</t>
  </si>
  <si>
    <t>950.549.016-04</t>
  </si>
  <si>
    <t>(37) 9 9983-6031</t>
  </si>
  <si>
    <t>AVENIDA SABINO GUARBERTO DE MACEDO</t>
  </si>
  <si>
    <t>GERALDO OTACILIO CORDEIRO</t>
  </si>
  <si>
    <t>832.507.196-68</t>
  </si>
  <si>
    <t>(37) 9 9876-7665</t>
  </si>
  <si>
    <t>RODOVIA MG 060 KM 100 A DIREITA</t>
  </si>
  <si>
    <t>GETULIO WOLF</t>
  </si>
  <si>
    <t>455.805.888-87</t>
  </si>
  <si>
    <t>(37) 9 8820-3127</t>
  </si>
  <si>
    <t>RUA 15 DE NOVEMBRO</t>
  </si>
  <si>
    <t>GILMAR BARBOSA NAVES SILVA</t>
  </si>
  <si>
    <t>325.618.496-00</t>
  </si>
  <si>
    <t>RUA 7 DE SETEMBRO</t>
  </si>
  <si>
    <t>NOVA ERA</t>
  </si>
  <si>
    <t>GILMAR DONIZETE DE OLIVEIRA</t>
  </si>
  <si>
    <t>918.748.906-68</t>
  </si>
  <si>
    <t>(37) 9 9981-8699</t>
  </si>
  <si>
    <t>RUA CHICO REIS</t>
  </si>
  <si>
    <t>SÃO DOMINGOS</t>
  </si>
  <si>
    <t>37195-000</t>
  </si>
  <si>
    <t>SANTANA DA VARGEM</t>
  </si>
  <si>
    <t>GILSON BARRETO DE OLIVEIRA</t>
  </si>
  <si>
    <t>014.595.846-94</t>
  </si>
  <si>
    <t>(37) 9 9806-2360</t>
  </si>
  <si>
    <t>RUA RIO DE JANEIRO</t>
  </si>
  <si>
    <t>SALA 314</t>
  </si>
  <si>
    <t>GILSON NAVES SILVA</t>
  </si>
  <si>
    <t>339.717.146-68</t>
  </si>
  <si>
    <t>(35) 9 9851-9550</t>
  </si>
  <si>
    <t>FAZENDA LAGOA</t>
  </si>
  <si>
    <t>GLAUCIA APARECIDA NAVES VILELA</t>
  </si>
  <si>
    <t>277.433.306-72</t>
  </si>
  <si>
    <t>(35) 9 99063848</t>
  </si>
  <si>
    <t>ANTIGA VIA BOA ESPERANÇA KM 02</t>
  </si>
  <si>
    <t>GLAUTER RODRIGUES GOULART</t>
  </si>
  <si>
    <t>427.011.206-91</t>
  </si>
  <si>
    <t>(37) 9 9953-4169</t>
  </si>
  <si>
    <t>FAZENDA TRES MARIAS</t>
  </si>
  <si>
    <t>GLOBUS EMPREENDIMENTOS E PROJETOS LTDA</t>
  </si>
  <si>
    <t>27.434.924/0001-52</t>
  </si>
  <si>
    <t>(37) 9 9959-7225</t>
  </si>
  <si>
    <t>35500-009</t>
  </si>
  <si>
    <t>GUILHERME OLIVEIRA AMARAL</t>
  </si>
  <si>
    <t>052.907.516-45</t>
  </si>
  <si>
    <t>(31) 9 9740-0105</t>
  </si>
  <si>
    <t>ALAMEDA FLAMBOYANT</t>
  </si>
  <si>
    <t>NOVA LIMA</t>
  </si>
  <si>
    <t>GUILHERME TEIXEIRA BORGES</t>
  </si>
  <si>
    <t>069.091.036-37</t>
  </si>
  <si>
    <t>(37) 9 9958-5064</t>
  </si>
  <si>
    <t>RUA PAU SECO</t>
  </si>
  <si>
    <t>ILHA ZONA RURAL</t>
  </si>
  <si>
    <t>GUSTAVO CAETANO DE ARAUJO MARTINS</t>
  </si>
  <si>
    <t>049.693.786-30</t>
  </si>
  <si>
    <t>(37) 9 9122-0135</t>
  </si>
  <si>
    <t>PRACA CRISTIANO</t>
  </si>
  <si>
    <t>HALES ANTONIO DE CARVALHO</t>
  </si>
  <si>
    <t>176.114.586-04</t>
  </si>
  <si>
    <t>(34) 9 9953-3344</t>
  </si>
  <si>
    <t>RUA 41</t>
  </si>
  <si>
    <t>RODOVIÁRIA</t>
  </si>
  <si>
    <t>HECTOR PAULO CORREIA RODRIGUES</t>
  </si>
  <si>
    <t>127.040.616-70</t>
  </si>
  <si>
    <t>(37) 9 9983-6138</t>
  </si>
  <si>
    <t>RODOVIA MG 050 PIMENTA A FORMIGA</t>
  </si>
  <si>
    <t>HELCIO VILELA LEMOS</t>
  </si>
  <si>
    <t>027.142.056-15</t>
  </si>
  <si>
    <t>(35) 9 9936-4894</t>
  </si>
  <si>
    <t>AVENIDA JUSCELINO CUBITSCHEK</t>
  </si>
  <si>
    <t>HOMERIO DAS GRACAS LOPES</t>
  </si>
  <si>
    <t>884.527.276-15</t>
  </si>
  <si>
    <t>(37) 9 8831-1256</t>
  </si>
  <si>
    <t>JOSE FURTADINHO</t>
  </si>
  <si>
    <t>IDELMAR GONÇALVES SANTANA</t>
  </si>
  <si>
    <t>212.863.026-68</t>
  </si>
  <si>
    <t>(35) 9 9163-0326</t>
  </si>
  <si>
    <t xml:space="preserve">RUA AMALIA BITENCURT </t>
  </si>
  <si>
    <t>37410-115</t>
  </si>
  <si>
    <t>TRÊS CORAÇÕES</t>
  </si>
  <si>
    <t>IGOR MANOEL DE ARAUJO COSTA</t>
  </si>
  <si>
    <t>047.662.586-65</t>
  </si>
  <si>
    <t>(37) 9 9951-1096</t>
  </si>
  <si>
    <t>AVENIDA JAIR LEITE</t>
  </si>
  <si>
    <t>INES RIBEIRO DE ANDRADE</t>
  </si>
  <si>
    <t>491.823.906-49</t>
  </si>
  <si>
    <t>(35) 9 9964-9043</t>
  </si>
  <si>
    <t>FAZENDA ITAPECERICA PONTA DA CHACARA</t>
  </si>
  <si>
    <t>37220-000</t>
  </si>
  <si>
    <t>BOM SUCESSO</t>
  </si>
  <si>
    <t>IOMAR TAVARES DA CUNHA</t>
  </si>
  <si>
    <t>555.919.906-06</t>
  </si>
  <si>
    <t>(31) 9 9278-2106</t>
  </si>
  <si>
    <t>RUA ALVARES MACIEL</t>
  </si>
  <si>
    <t>300 B</t>
  </si>
  <si>
    <t>ALPHAVILLE LAGOA DOS INGLESES</t>
  </si>
  <si>
    <t>34018-030</t>
  </si>
  <si>
    <t>IONILDO JOSE GONCALVES</t>
  </si>
  <si>
    <t>904.835.376-91</t>
  </si>
  <si>
    <t>(37) 9 9983-4752</t>
  </si>
  <si>
    <t>RUA CIRILO GONCALVES MACHADO</t>
  </si>
  <si>
    <t>37930-000</t>
  </si>
  <si>
    <t>CAPITÓLIO</t>
  </si>
  <si>
    <t>ISAIAS RODRIGUES COSTA</t>
  </si>
  <si>
    <t>065.657.506-96</t>
  </si>
  <si>
    <t>(37) 9 9812-0952</t>
  </si>
  <si>
    <t>FAZENDA LAGOA DOS PATOS</t>
  </si>
  <si>
    <t>ISLEY GHELLI</t>
  </si>
  <si>
    <t>051.999.926-60</t>
  </si>
  <si>
    <t>(37) 9 9909-4164</t>
  </si>
  <si>
    <t xml:space="preserve">RUA ARTHUR FRADE </t>
  </si>
  <si>
    <t>SANTA LUZIA</t>
  </si>
  <si>
    <t>ISRAEL DA SILVA CAMPOS</t>
  </si>
  <si>
    <t>292.739.006-15</t>
  </si>
  <si>
    <t>(37) 9 9806-1405</t>
  </si>
  <si>
    <t>RUA DOS PASSOS</t>
  </si>
  <si>
    <t>IVAN VIEIRA FARIA</t>
  </si>
  <si>
    <t>048.060.496-70</t>
  </si>
  <si>
    <t>(37) 9 9939-4922</t>
  </si>
  <si>
    <t>FAZENDA CAMPO ALEGRE</t>
  </si>
  <si>
    <t>JANILSON FELIZALI BARBOSA</t>
  </si>
  <si>
    <t>306.361.246-49</t>
  </si>
  <si>
    <t>(35) 9 9975-0967</t>
  </si>
  <si>
    <t>RUA GOVERNADOR VALADARES</t>
  </si>
  <si>
    <t>JATOBA AGROPECUARIA EIRELI</t>
  </si>
  <si>
    <t>20.666.231/0002-27</t>
  </si>
  <si>
    <t>(37) 9 9979-8089</t>
  </si>
  <si>
    <t>ESTRADA MARGEM ESQUERDA ESTRADA LUZ LIMOIRO</t>
  </si>
  <si>
    <t>JAVER ALVES VIEIRA</t>
  </si>
  <si>
    <t>069.635.496-99</t>
  </si>
  <si>
    <t>(37) 9 9107-4015</t>
  </si>
  <si>
    <t>FAZENDA CACHOEIRINHA</t>
  </si>
  <si>
    <t>JD COMERCIO DE CARNES LTDA</t>
  </si>
  <si>
    <t>12.007.077/0001-72</t>
  </si>
  <si>
    <t>(37) 9 9802-0201</t>
  </si>
  <si>
    <t>RUA ALDA CAETANO DE PAULA</t>
  </si>
  <si>
    <t>NOSSA SENHORA DE LOURDES</t>
  </si>
  <si>
    <t>35572-128</t>
  </si>
  <si>
    <t>JENIVALDO JOSE DE MENDONCA</t>
  </si>
  <si>
    <t>357.115.586-68</t>
  </si>
  <si>
    <t>(37) 9 9113-0317</t>
  </si>
  <si>
    <t>CORREGO DAS ALMAS</t>
  </si>
  <si>
    <t>JOAO BATISTA DE SOUSA</t>
  </si>
  <si>
    <t>670.566.286-72</t>
  </si>
  <si>
    <t>(37) 9 9911-2101</t>
  </si>
  <si>
    <t>AVENIDA VALDEMAR FERNAL</t>
  </si>
  <si>
    <t>35541-000</t>
  </si>
  <si>
    <t>JOAO CARLOS DA COSTA</t>
  </si>
  <si>
    <t>949.774.536-20</t>
  </si>
  <si>
    <t>(37) 9 9983-4787</t>
  </si>
  <si>
    <t>FAZENDA PARAÍSO PERDIDO</t>
  </si>
  <si>
    <t>JOAO DARIO RIBEIRO</t>
  </si>
  <si>
    <t>144.046.721-87</t>
  </si>
  <si>
    <t>(37) 9 9104-9140</t>
  </si>
  <si>
    <t>BR 262 KM 542 A ESQUERDA SENTIDO LUZ/ ARAXA</t>
  </si>
  <si>
    <t>JOAO FRAZAO FILHO</t>
  </si>
  <si>
    <t>141.274.666-34</t>
  </si>
  <si>
    <t>(37) 9 9945-1139</t>
  </si>
  <si>
    <t>RUA PROFESSOR AUGUSTO BARBOSA</t>
  </si>
  <si>
    <t>SAGRADO CORAÇÃO DE JESUS</t>
  </si>
  <si>
    <t>35574-321</t>
  </si>
  <si>
    <t>JOAO JOSE DE CAMPOS</t>
  </si>
  <si>
    <t>060.121.276-26</t>
  </si>
  <si>
    <t>FAZENDA SANTA ELISA</t>
  </si>
  <si>
    <t>JOAO MARCOS ROCHA CHAVES</t>
  </si>
  <si>
    <t>110.027.086-80</t>
  </si>
  <si>
    <t>(43) 9 9637-7999</t>
  </si>
  <si>
    <t>RUA SAO PAULO</t>
  </si>
  <si>
    <t>JOAQUIM SILVA DA COSTA</t>
  </si>
  <si>
    <t>437.528.106-53</t>
  </si>
  <si>
    <t>(37) 9 9983-6818</t>
  </si>
  <si>
    <t>JOSE BARBOSA DE FARIA</t>
  </si>
  <si>
    <t>042.745.646-06</t>
  </si>
  <si>
    <t>(35) 9 8880-5241</t>
  </si>
  <si>
    <t>FAZENDA GAMA</t>
  </si>
  <si>
    <t>JOSE CARLOS CEPERA</t>
  </si>
  <si>
    <t>393.613.308-53</t>
  </si>
  <si>
    <t>RODOVIA FERNAO DIAS BR 381 KM 634</t>
  </si>
  <si>
    <t>JOSE CARLOS DE OLIVEIRA</t>
  </si>
  <si>
    <t>185.714.336-15</t>
  </si>
  <si>
    <t>(35) 9 9914-7301</t>
  </si>
  <si>
    <t>RIO SAO JOAO/SANTO ANTONIO</t>
  </si>
  <si>
    <t>35685-000</t>
  </si>
  <si>
    <t>ITATIAIUÇU</t>
  </si>
  <si>
    <t>JOSE DONIZETE RODRIGUES</t>
  </si>
  <si>
    <t>433.201.126-00</t>
  </si>
  <si>
    <t>(37) 9 9861-9488</t>
  </si>
  <si>
    <t>RUA OLEGARIO RABELO</t>
  </si>
  <si>
    <t>BRASILIA</t>
  </si>
  <si>
    <t>JOSE LUIZ DE AZEVEDO ARAUJO</t>
  </si>
  <si>
    <t>034.386.948-91</t>
  </si>
  <si>
    <t>CAIXA POSTAL</t>
  </si>
  <si>
    <t>JOSE MARIA PELOSO</t>
  </si>
  <si>
    <t>271.646.676-91</t>
  </si>
  <si>
    <t>(35) 9 9709-3327</t>
  </si>
  <si>
    <t>RODOVIA ILICÍNEA A BOA ESPERANÇA KM 05</t>
  </si>
  <si>
    <t>37175-000</t>
  </si>
  <si>
    <t>JOSE MODESTO DE OLIVEIRA SOBRINHO</t>
  </si>
  <si>
    <t>277.667.996-34</t>
  </si>
  <si>
    <t>(37) 9 9983-3395</t>
  </si>
  <si>
    <t>RUA RODRIGUES PEREIRA</t>
  </si>
  <si>
    <t>JOSE NATAL PEREIRA</t>
  </si>
  <si>
    <t>017.224.686-53</t>
  </si>
  <si>
    <t>(37) 9 9983-3170</t>
  </si>
  <si>
    <t>RUA DR. HIGINO</t>
  </si>
  <si>
    <t>JOSE ODONE FAGUNDES</t>
  </si>
  <si>
    <t>012.557.976-49</t>
  </si>
  <si>
    <t>(35) 9 9809-8933</t>
  </si>
  <si>
    <t>RUA DOUTOR SALES</t>
  </si>
  <si>
    <t>JOSE RICARDO DE CASTRO</t>
  </si>
  <si>
    <t>803.208.996-91</t>
  </si>
  <si>
    <t>(37) 9 9939-8504</t>
  </si>
  <si>
    <t>RUA CHIRLEI DE FARIA OLIVEIRA</t>
  </si>
  <si>
    <t>QUARTÉIS</t>
  </si>
  <si>
    <t>JOSE ROBERTO RODRIGUES</t>
  </si>
  <si>
    <t>055.817.786-71</t>
  </si>
  <si>
    <t>(37) 9 8837-1020</t>
  </si>
  <si>
    <t>AVENIDA ITAPECIRICA</t>
  </si>
  <si>
    <t>JOSE RODRIGUES BELO</t>
  </si>
  <si>
    <t>433.228.406-20</t>
  </si>
  <si>
    <t>(37) 9 9966-2019</t>
  </si>
  <si>
    <t>JOSE RODRIGUES NUNES NETO</t>
  </si>
  <si>
    <t>080.311.456-79</t>
  </si>
  <si>
    <t>(37) 9 9902-1355</t>
  </si>
  <si>
    <t xml:space="preserve">RUA SAO JOAO </t>
  </si>
  <si>
    <t>LUIZ LARA</t>
  </si>
  <si>
    <t>JOSE TARCISIO RODRIGUES</t>
  </si>
  <si>
    <t>054.879.476-60</t>
  </si>
  <si>
    <t>RODOVIA MG 170</t>
  </si>
  <si>
    <t>JOSE UBALDO RODRIGUES</t>
  </si>
  <si>
    <t>026.529.008-20</t>
  </si>
  <si>
    <t>(37) 9 9983-6116</t>
  </si>
  <si>
    <t>RUA 12 DE OUTUBRO</t>
  </si>
  <si>
    <t>JOSE VIEIRA DA COSTA</t>
  </si>
  <si>
    <t>141.261.096-68</t>
  </si>
  <si>
    <t>(37) 9 9983-3043</t>
  </si>
  <si>
    <t>FAZENDA VARGEM GRANDE</t>
  </si>
  <si>
    <t>JULIANO VILELA CARNEIRO GIRAO</t>
  </si>
  <si>
    <t>962.315.056-34</t>
  </si>
  <si>
    <t>(35) 9 9857-3777</t>
  </si>
  <si>
    <t>RUA JOSE TORRES FILHO</t>
  </si>
  <si>
    <t>CAMPESTRE II</t>
  </si>
  <si>
    <t>37209-292</t>
  </si>
  <si>
    <t>LAVRAS</t>
  </si>
  <si>
    <t>LAZARO HERNANDES DIAS DE ALMEI</t>
  </si>
  <si>
    <t>429.899.816-91</t>
  </si>
  <si>
    <t>(37) 9 8407-8090</t>
  </si>
  <si>
    <t>RUA OITO DE JULHO</t>
  </si>
  <si>
    <t>LEONARDO CAMILO DE MELO</t>
  </si>
  <si>
    <t>484.565.866-68</t>
  </si>
  <si>
    <t>(37) 9 9966-4581</t>
  </si>
  <si>
    <t>FAZENDA DA LIMA</t>
  </si>
  <si>
    <t>LEONARDO DE ALMEIDA BRAGA</t>
  </si>
  <si>
    <t>627.536.226-04</t>
  </si>
  <si>
    <t>(37) 9 9139-1113</t>
  </si>
  <si>
    <t>RUA SILVIANO BRANDAO</t>
  </si>
  <si>
    <t>LEONARDO VILELA CARNEIRO GIRAO</t>
  </si>
  <si>
    <t>005.853.236-66</t>
  </si>
  <si>
    <t>FAZENDA SANTA PAULA</t>
  </si>
  <si>
    <t>37240-000</t>
  </si>
  <si>
    <t>LUMINÁRIAS</t>
  </si>
  <si>
    <t>LINDOMIR ALFREDO DORNELAS</t>
  </si>
  <si>
    <t>274.571.256-04</t>
  </si>
  <si>
    <t>(37) 9 9985-0087</t>
  </si>
  <si>
    <t>RUA MECIAS MACEDO</t>
  </si>
  <si>
    <t>LUIS ALBERTO DA SILVA</t>
  </si>
  <si>
    <t>365.072.616-53</t>
  </si>
  <si>
    <t>(35) 9 8438-3362</t>
  </si>
  <si>
    <t>37920-000</t>
  </si>
  <si>
    <t>SAO JOÃO BAHIA</t>
  </si>
  <si>
    <t>LUIS ALBERTO DE CASTRO SOARES</t>
  </si>
  <si>
    <t>799.203.496-15</t>
  </si>
  <si>
    <t>(37) 9 9988-0463</t>
  </si>
  <si>
    <t>RUA LUIS BELO DAMASCENO</t>
  </si>
  <si>
    <t>SÃO GERALDO</t>
  </si>
  <si>
    <t>35576-230</t>
  </si>
  <si>
    <t>LUIS EVANGELISTA DE OLIVEIRA</t>
  </si>
  <si>
    <t>483.938.436-34</t>
  </si>
  <si>
    <t>(37) 9 9931-0966</t>
  </si>
  <si>
    <t>RUA PRIMAVERA</t>
  </si>
  <si>
    <t>PAUS SECOS</t>
  </si>
  <si>
    <t>LUIS FERNANDO MORAIS DE LARA</t>
  </si>
  <si>
    <t>041.895.386-47</t>
  </si>
  <si>
    <t>(35) 9 9837-8418</t>
  </si>
  <si>
    <t>FAZENDA CONGONHAS DE BAIXO</t>
  </si>
  <si>
    <t>LUIZ EDUARDO PELOSO</t>
  </si>
  <si>
    <t>550.958.016-04</t>
  </si>
  <si>
    <t>(35) 9211-3279</t>
  </si>
  <si>
    <t xml:space="preserve">RUA PREFEITO JOSE FREIRE </t>
  </si>
  <si>
    <t>LUIZ FERNANDO BARBOSA SIMOES</t>
  </si>
  <si>
    <t>376.342.836-49</t>
  </si>
  <si>
    <t>(35) 9 9833-8312</t>
  </si>
  <si>
    <t>FAZENDA SERTAOZINHO</t>
  </si>
  <si>
    <t>LUIZ HENRIQUE BERNARDES</t>
  </si>
  <si>
    <t>043.139.316-86</t>
  </si>
  <si>
    <t>(37) 9 9134-2101</t>
  </si>
  <si>
    <t>RUA JOAO RIBEIRO</t>
  </si>
  <si>
    <t>LUIZ HENRIQUE ROSA ALMEIDA</t>
  </si>
  <si>
    <t>301.677.568-93</t>
  </si>
  <si>
    <t>(35) 9 9723-2370</t>
  </si>
  <si>
    <t>PRACA PADRE JOAO LOURENCO LEITE</t>
  </si>
  <si>
    <t>LUIZ MARCOS SIMOES</t>
  </si>
  <si>
    <t>153.029.386-34</t>
  </si>
  <si>
    <t>(31) 9 9615-7000</t>
  </si>
  <si>
    <t>FAZENDA TERRA PROMISSAO</t>
  </si>
  <si>
    <t>37262-000</t>
  </si>
  <si>
    <t>SANTO ANTÔNIO DO AMPARO</t>
  </si>
  <si>
    <t>LUIZ MARCOS SIMOES FILHO</t>
  </si>
  <si>
    <t>013.511.246-09</t>
  </si>
  <si>
    <t>LUIZ RENATO SPINELLI</t>
  </si>
  <si>
    <t>443.633.466-04</t>
  </si>
  <si>
    <t>(35) 9 9835-0901</t>
  </si>
  <si>
    <t>PRACA ERNANI PEREIRA SCATOLI</t>
  </si>
  <si>
    <t>MANOEL MOURAO BAHIA</t>
  </si>
  <si>
    <t>521.583.736-87</t>
  </si>
  <si>
    <t>(37) 9 8818-1389</t>
  </si>
  <si>
    <t>FAZENDA MEDEIROS</t>
  </si>
  <si>
    <t>38930-000</t>
  </si>
  <si>
    <t>MEDEIROS</t>
  </si>
  <si>
    <t>MARCIANO GOULART LACERDA</t>
  </si>
  <si>
    <t>087.297.596-76</t>
  </si>
  <si>
    <t>(37) 9 9942-4697</t>
  </si>
  <si>
    <t>FAZENDA CERRADAO</t>
  </si>
  <si>
    <t>MARCIO LOURENCO DE DEUS</t>
  </si>
  <si>
    <t>004.546.476-62</t>
  </si>
  <si>
    <t>(37) 9 9985-6199</t>
  </si>
  <si>
    <t>.</t>
  </si>
  <si>
    <t>MARCO TULIO LAMOUNIER</t>
  </si>
  <si>
    <t>050.549.016-12</t>
  </si>
  <si>
    <t>(37) 9 9983-1226</t>
  </si>
  <si>
    <t>JOSE ARANTES</t>
  </si>
  <si>
    <t>MARCOS ANDRADE LEMOS</t>
  </si>
  <si>
    <t>027.498.056-86</t>
  </si>
  <si>
    <t>(35) 9 9126-9884</t>
  </si>
  <si>
    <t>RUA CORONEL JOAO DE BARROS</t>
  </si>
  <si>
    <t>37900-055</t>
  </si>
  <si>
    <t>MARCOS AURELIANO RODRIGUES NUN</t>
  </si>
  <si>
    <t>547.210.166-20</t>
  </si>
  <si>
    <t>(37) 9 9983-1084</t>
  </si>
  <si>
    <t>FAZENDA PONTE ALTA</t>
  </si>
  <si>
    <t>MARCOS PACIFICO RESENDE COUTO</t>
  </si>
  <si>
    <t>090.211.696-73</t>
  </si>
  <si>
    <t>(37) 9 9846-1710</t>
  </si>
  <si>
    <t>FAZENDA PINTOS</t>
  </si>
  <si>
    <t>MARIA APARECIDA FIGUEIREDO RONDINI</t>
  </si>
  <si>
    <t>065.262.046-94</t>
  </si>
  <si>
    <t>(35) 9 9988-1372</t>
  </si>
  <si>
    <t>RUA COQUEIRAL</t>
  </si>
  <si>
    <t>MARIA DE LOURDES COSTA SARREIRO</t>
  </si>
  <si>
    <t>083.455.206-00</t>
  </si>
  <si>
    <t>(37) 9 9902-8548</t>
  </si>
  <si>
    <t>FAZENDA LIMEIRA</t>
  </si>
  <si>
    <t>MARIA FLAVIA LOBO FERREIRA</t>
  </si>
  <si>
    <t>549.133.656-49</t>
  </si>
  <si>
    <t>(31) 9 9670-1263</t>
  </si>
  <si>
    <t>FAZENDA BELA VISTA</t>
  </si>
  <si>
    <t>35547-000</t>
  </si>
  <si>
    <t>CARMO DA MATA</t>
  </si>
  <si>
    <t>MARIA JOSE RIBEIRO VAZ</t>
  </si>
  <si>
    <t>448.131.126-68</t>
  </si>
  <si>
    <t>(37) 9 9986-9328</t>
  </si>
  <si>
    <t>RODOVIA BR 354 KM 484</t>
  </si>
  <si>
    <t>MARILIA FERREIRA FIGUEIREDO BARBOSA E OUTROS</t>
  </si>
  <si>
    <t>700.578.506-15</t>
  </si>
  <si>
    <t>(35) 9 8898-1434</t>
  </si>
  <si>
    <t>PRACA CORONEL NEVES</t>
  </si>
  <si>
    <t>MARIO CLEBES SILVA</t>
  </si>
  <si>
    <t>056.007.666-53</t>
  </si>
  <si>
    <t>FAZENDA ONCA/CACHOEIRA</t>
  </si>
  <si>
    <t>MATHEUS ARAUJO DURCO</t>
  </si>
  <si>
    <t>088.460.756-92</t>
  </si>
  <si>
    <t>9 8856-4988</t>
  </si>
  <si>
    <t xml:space="preserve">RUA CORONEL JOSE VILELA </t>
  </si>
  <si>
    <t>PROGRESSO</t>
  </si>
  <si>
    <t>37370-000</t>
  </si>
  <si>
    <t>SÃO VICENTE DE MINAS</t>
  </si>
  <si>
    <t>MATHEUS DE CASTRO LOPES</t>
  </si>
  <si>
    <t>157.588.956-01</t>
  </si>
  <si>
    <t>(37) 9 9803-5152</t>
  </si>
  <si>
    <t xml:space="preserve">RUA CAMPOS ALTOS </t>
  </si>
  <si>
    <t>35576-172</t>
  </si>
  <si>
    <t>MATHEUS PERREIRA SIMOES E OUTROS</t>
  </si>
  <si>
    <t>108.428.926-13</t>
  </si>
  <si>
    <t>(37) 9 9984-7775</t>
  </si>
  <si>
    <t>RUA FREDERICO OZANAN</t>
  </si>
  <si>
    <t>MATILDES RESENDE REIS E OUTROS</t>
  </si>
  <si>
    <t>213.467.986-72</t>
  </si>
  <si>
    <t>(35) 9 9973-0910</t>
  </si>
  <si>
    <t>FAZENDA FORD III</t>
  </si>
  <si>
    <t>MAURO ANTONIO COSTA DE ARAUJO</t>
  </si>
  <si>
    <t>829.273.326-49</t>
  </si>
  <si>
    <t>(31) 9 9952-5869</t>
  </si>
  <si>
    <t>RODOVIA MG-238</t>
  </si>
  <si>
    <t>KM 22</t>
  </si>
  <si>
    <t>35701-970</t>
  </si>
  <si>
    <t>SETE LAGOAS</t>
  </si>
  <si>
    <t>MIGUEL ANGELO CARVALHO GARCIA</t>
  </si>
  <si>
    <t>093.731.996-17</t>
  </si>
  <si>
    <t>(38) 9 9131-5558</t>
  </si>
  <si>
    <t>FAZENDA BOA ESPERANCA</t>
  </si>
  <si>
    <t>38990-000</t>
  </si>
  <si>
    <t>CÓRREGO DANTA</t>
  </si>
  <si>
    <t>MOZART SILVA JUNIOR</t>
  </si>
  <si>
    <t>108.528.936-20</t>
  </si>
  <si>
    <t>(37) 9 9118-8379</t>
  </si>
  <si>
    <t>RUA 15</t>
  </si>
  <si>
    <t>ODAIR DOMINGOS FILHO</t>
  </si>
  <si>
    <t>447.387.576-87</t>
  </si>
  <si>
    <t>(37) 9 9944-9853</t>
  </si>
  <si>
    <t>OLAVO ALVES CORGOSINHO</t>
  </si>
  <si>
    <t>118.624.596-49</t>
  </si>
  <si>
    <t>FAZENDA VARZEA DAS GARCAS</t>
  </si>
  <si>
    <t>ONICIO EUSTAQUIO DE MELO</t>
  </si>
  <si>
    <t>256.085.926-20</t>
  </si>
  <si>
    <t>(37) 9 9983-4677</t>
  </si>
  <si>
    <t>RUA ARMANDO ZIOTE</t>
  </si>
  <si>
    <t>OSWALDO FLORENCIO DE OLIVEIRA</t>
  </si>
  <si>
    <t>005.704.238-13</t>
  </si>
  <si>
    <t>(37) 9 9983-3608</t>
  </si>
  <si>
    <t>OTTO PESSOA DE MENDONCA</t>
  </si>
  <si>
    <t>001.041.676-53</t>
  </si>
  <si>
    <t>PAULO FLAVIO RIBEIRO</t>
  </si>
  <si>
    <t>119.619.881-00</t>
  </si>
  <si>
    <t>(37) 9 9856-0981</t>
  </si>
  <si>
    <t>FAZENDA SAO LOURENCO</t>
  </si>
  <si>
    <t>PAULO HENRIQUE LEITE MACHADO</t>
  </si>
  <si>
    <t>082.384.416-17</t>
  </si>
  <si>
    <t>(37) 9 8837-5599</t>
  </si>
  <si>
    <t>AVENIDA VERISSIMO GOMES</t>
  </si>
  <si>
    <t>PAULO HEUBERT FIUZA PULINELLI</t>
  </si>
  <si>
    <t>477.349.066-72</t>
  </si>
  <si>
    <t>(37) 99955-1664</t>
  </si>
  <si>
    <t>ANTONIO GOMES DE MACEDO</t>
  </si>
  <si>
    <t>PAULO JOSE SILVEIRA</t>
  </si>
  <si>
    <t>895.727.506-15</t>
  </si>
  <si>
    <t>(37) 9 9983-6950</t>
  </si>
  <si>
    <t>RUA FLORIANO PEIXOTO</t>
  </si>
  <si>
    <t>PAULO MARCIO MONTEIRO DE FARIA</t>
  </si>
  <si>
    <t>539.844.986-91</t>
  </si>
  <si>
    <t>(31) 9 9972-6099</t>
  </si>
  <si>
    <t>RUA GONCALVES DIAS</t>
  </si>
  <si>
    <t>LOURDES</t>
  </si>
  <si>
    <t>30140-092</t>
  </si>
  <si>
    <t>PEDRO BATISTA VILELA</t>
  </si>
  <si>
    <t>405.225.398-15</t>
  </si>
  <si>
    <t>(35) 9 9111-5456</t>
  </si>
  <si>
    <t>RUA BOA ESPERANCA</t>
  </si>
  <si>
    <t>PEDRO HENRIQUE DE OLIVEIRA</t>
  </si>
  <si>
    <t>524.039.986-72</t>
  </si>
  <si>
    <t>(37) 9 9855-9368</t>
  </si>
  <si>
    <t>AVENIDA PRESIDENTE TANCREDO NEVES</t>
  </si>
  <si>
    <t>35530-973</t>
  </si>
  <si>
    <t>PEDRO HILTON VILELA</t>
  </si>
  <si>
    <t>030.858.056-72</t>
  </si>
  <si>
    <t>(35) 9 9839-4077</t>
  </si>
  <si>
    <t>FAZENDA FLORESTA</t>
  </si>
  <si>
    <t>PLACIDO RIBEIRO VAZ</t>
  </si>
  <si>
    <t>143.273.846-15</t>
  </si>
  <si>
    <t>(37) 9 9965-1042</t>
  </si>
  <si>
    <t>FAZENDA LAGO - ESTRADA ALBERTOS/SAO PEDRO</t>
  </si>
  <si>
    <t>PLINIO RODRIGUES NUNES</t>
  </si>
  <si>
    <t>203.282.306-34</t>
  </si>
  <si>
    <t>(37) 9 9113-2983</t>
  </si>
  <si>
    <t>CAPITÃO PARREIRA</t>
  </si>
  <si>
    <t>PMG COMERCIAL EXPORTADORA LTDA</t>
  </si>
  <si>
    <t>08.332.796/0001-91</t>
  </si>
  <si>
    <t>(37) 9 9967-5100</t>
  </si>
  <si>
    <t>AVENIDA SABINO GUALBERTO DE MACEDO</t>
  </si>
  <si>
    <t>PORTO MINEIRO INSUMOS AGRICOLA</t>
  </si>
  <si>
    <t>36.351.100/0001-00</t>
  </si>
  <si>
    <t>AVENIDA FRANCISCO MACHADO DE SOUZA</t>
  </si>
  <si>
    <t>PINDAIBAS</t>
  </si>
  <si>
    <t>RANGEL REIS MARTINS DE OLIVEIR</t>
  </si>
  <si>
    <t>044.325.856-25</t>
  </si>
  <si>
    <t>(37) 9 9962-3934</t>
  </si>
  <si>
    <t>JK</t>
  </si>
  <si>
    <t>REGINA FIGUEIREDO DE BRITO RIBEIRO</t>
  </si>
  <si>
    <t>087.210.518-01</t>
  </si>
  <si>
    <t>(37) 9 9942-9654</t>
  </si>
  <si>
    <t>FAZENDA CONCEICAO</t>
  </si>
  <si>
    <t>RENAN PINHEIRO VALENTE</t>
  </si>
  <si>
    <t>130.947.367-69</t>
  </si>
  <si>
    <t>(35) 9 9876-5254</t>
  </si>
  <si>
    <t>RUA OLIMPIO DOMINGUES PINTO</t>
  </si>
  <si>
    <t>SANTO ANTONIO</t>
  </si>
  <si>
    <t>37750-000</t>
  </si>
  <si>
    <t>MACHADO</t>
  </si>
  <si>
    <t>RENATO ANTONIO DE MELO</t>
  </si>
  <si>
    <t>873.310.396-87</t>
  </si>
  <si>
    <t>(37) 9 9984-1740</t>
  </si>
  <si>
    <t>JOÃO ILDEU DE MIRANDA BORGES</t>
  </si>
  <si>
    <t>CONDOMÍNIO FAZENDA BOA VISTA</t>
  </si>
  <si>
    <t>RENATO BEMFICA VILELA</t>
  </si>
  <si>
    <t>003.911.906-87</t>
  </si>
  <si>
    <t>(35) 9 8853-2335</t>
  </si>
  <si>
    <t>FAZENDA GRAÇAS A DEUS</t>
  </si>
  <si>
    <t>RICARDO DA SILVA CHICRI E OUTROS</t>
  </si>
  <si>
    <t>143.739.396-91</t>
  </si>
  <si>
    <t>(37) 9 9112-2091</t>
  </si>
  <si>
    <t xml:space="preserve">RODOVIA MG-050 KM 202  </t>
  </si>
  <si>
    <t>SOUZA E SILVA</t>
  </si>
  <si>
    <t>RICARDO DE AGUIAR REZENDE</t>
  </si>
  <si>
    <t>352.170.306-15</t>
  </si>
  <si>
    <t>(34) 9 9950-2846</t>
  </si>
  <si>
    <t>FAZENDA NOSSA SENHORA DE FATIMA</t>
  </si>
  <si>
    <t>38170-000</t>
  </si>
  <si>
    <t>PERDIZES</t>
  </si>
  <si>
    <t>RICARDO RODRIGUES NUNES</t>
  </si>
  <si>
    <t>484.700.236-91</t>
  </si>
  <si>
    <t>(37) 9 9958-4438</t>
  </si>
  <si>
    <t>RODOVIA FORMIGA/PONTE VILA</t>
  </si>
  <si>
    <t>RONALDO FLORENCIO DE OLIVEIRA</t>
  </si>
  <si>
    <t>677.896.846-04</t>
  </si>
  <si>
    <t>RUA TOTONHO COSTA</t>
  </si>
  <si>
    <t>RONALDO GOULART MAGNO JUNIOR</t>
  </si>
  <si>
    <t>044.646.066-44</t>
  </si>
  <si>
    <t>(37) 9 9987-0222</t>
  </si>
  <si>
    <t>RUA ITAPECERICA - ATE 1397/1398</t>
  </si>
  <si>
    <t>35500-018</t>
  </si>
  <si>
    <t>RONALDO JOSE BORGES E OUTRO(S)</t>
  </si>
  <si>
    <t>044.948.006-27</t>
  </si>
  <si>
    <t>(37) 9 9957-5296</t>
  </si>
  <si>
    <t>FAZENDA MEIA LARANJA</t>
  </si>
  <si>
    <t>37275-000</t>
  </si>
  <si>
    <t>CRISTAIS</t>
  </si>
  <si>
    <t>ROSEMARY ALVES FERREIRA</t>
  </si>
  <si>
    <t>515.408.946-49</t>
  </si>
  <si>
    <t>(37) 9 9983-4994</t>
  </si>
  <si>
    <t>PRACA DOUTOR AVELINO DE QUEIROZ</t>
  </si>
  <si>
    <t>SAULO DE TARSO MACIEL</t>
  </si>
  <si>
    <t>878.094.786-72</t>
  </si>
  <si>
    <t>(37) 9 8833-2500</t>
  </si>
  <si>
    <t>JOAO SALUSTIANO DE OLIVEIRA</t>
  </si>
  <si>
    <t>SAULO HENRIQUE FERNANDES SOUZA</t>
  </si>
  <si>
    <t>109.525.506-10</t>
  </si>
  <si>
    <t>(37) 9 9919-1507</t>
  </si>
  <si>
    <t xml:space="preserve">RUA LINDOUFO FRIANCA </t>
  </si>
  <si>
    <t>NOSSA SENHORA</t>
  </si>
  <si>
    <t>SERGIO RODRIGUES NUNES</t>
  </si>
  <si>
    <t>821.394.906-49</t>
  </si>
  <si>
    <t>(37) 9 9951-1084</t>
  </si>
  <si>
    <t>SILVIO CESAR RESENDE DE FARIA</t>
  </si>
  <si>
    <t>306.539.676-91</t>
  </si>
  <si>
    <t>(35) 9 8417-8111</t>
  </si>
  <si>
    <t xml:space="preserve">PRACA CORONEL NAVES </t>
  </si>
  <si>
    <t>SONIA MARIA VILELA DE SOUSA</t>
  </si>
  <si>
    <t>033.587.546-77</t>
  </si>
  <si>
    <t>FAZENDA TABOAO</t>
  </si>
  <si>
    <t>THIAGO DE OLIVEIRA BARROS</t>
  </si>
  <si>
    <t>015.637.156-19</t>
  </si>
  <si>
    <t>(35) 9 8475-7769</t>
  </si>
  <si>
    <t>RUA ACY FIGUEIREDO</t>
  </si>
  <si>
    <t>PITANGUEIRAS</t>
  </si>
  <si>
    <t>THIAGO FONSECA</t>
  </si>
  <si>
    <t>060.679.916-83</t>
  </si>
  <si>
    <t>AVENIDA MARCANA</t>
  </si>
  <si>
    <t>ROSARIO</t>
  </si>
  <si>
    <t>THIAGO PELOSO CUNHA</t>
  </si>
  <si>
    <t>095.915.486-80</t>
  </si>
  <si>
    <t>(35) 9 8861-3316</t>
  </si>
  <si>
    <t>RUA ANTONIO BARBOSA DE MORAIS</t>
  </si>
  <si>
    <t>THIAGO RIBEIRO MACHADO</t>
  </si>
  <si>
    <t>067.964.336-29</t>
  </si>
  <si>
    <t>(37) 9 9825-7750</t>
  </si>
  <si>
    <t>PRACA ADEMAR RIBEIRO</t>
  </si>
  <si>
    <t>35617-000</t>
  </si>
  <si>
    <t>SERRA DA SAUDADE</t>
  </si>
  <si>
    <t>THIAGO SOARES PACHECO</t>
  </si>
  <si>
    <t>088.038.536-77</t>
  </si>
  <si>
    <t>(37) 9 9150-5000</t>
  </si>
  <si>
    <t>RUA NESTOR BARBOSA</t>
  </si>
  <si>
    <t>TIAGO AUGUSTO PEREIRA BASILIO</t>
  </si>
  <si>
    <t>030.093.896-98</t>
  </si>
  <si>
    <t>(37) 9 9943-6600</t>
  </si>
  <si>
    <t>FAZENDA CAPAO BONITO/ LUZ/BAMBUÍ</t>
  </si>
  <si>
    <t>TIAGO BATISTA DA COSTA</t>
  </si>
  <si>
    <t>058.950.646-39</t>
  </si>
  <si>
    <t>(37) 9 9985-8381</t>
  </si>
  <si>
    <t>RUA DO CONTORNO</t>
  </si>
  <si>
    <t>TIMAC AGRO IND E COM FERT LTDA</t>
  </si>
  <si>
    <t>02.329.713/0019-58</t>
  </si>
  <si>
    <t>AVENIDA COMENDADOR ALADINO</t>
  </si>
  <si>
    <t>GALPÃO 5</t>
  </si>
  <si>
    <t>VILA SAN MARTIN</t>
  </si>
  <si>
    <t>13069-096</t>
  </si>
  <si>
    <t>CAMPINAS</t>
  </si>
  <si>
    <t>TIMAC AGRO IND. COM. FERT. LTD</t>
  </si>
  <si>
    <t>02.329.713/0018-77</t>
  </si>
  <si>
    <t>GALPAO 5A COND GR CAM 2</t>
  </si>
  <si>
    <t>VAINE ALVES TEIXEIRA</t>
  </si>
  <si>
    <t>292.793.806-72</t>
  </si>
  <si>
    <t>(37) 9 9951-1584</t>
  </si>
  <si>
    <t>FAZENDA CAPÃO DOS MACHANTES</t>
  </si>
  <si>
    <t>VALTER LUIZ TEIXEIRA</t>
  </si>
  <si>
    <t>673.874.626-15</t>
  </si>
  <si>
    <t>(31) 9 7132-7424</t>
  </si>
  <si>
    <t xml:space="preserve">RUA UBERLANDIA </t>
  </si>
  <si>
    <t>VALES DAS PALMEIRAS</t>
  </si>
  <si>
    <t>35700-237</t>
  </si>
  <si>
    <t>VANDER ALVES RODRIGUES</t>
  </si>
  <si>
    <t>044.355.086-72</t>
  </si>
  <si>
    <t>(37) 9 9801-5603</t>
  </si>
  <si>
    <t>FAZENDA ESTIVA</t>
  </si>
  <si>
    <t>35568-000</t>
  </si>
  <si>
    <t>CÓRREGO FUNDO</t>
  </si>
  <si>
    <t>VANDERLEI GOMES MARTINS</t>
  </si>
  <si>
    <t>890.971.146-91</t>
  </si>
  <si>
    <t>(37) 9 8405-2205</t>
  </si>
  <si>
    <t xml:space="preserve">RUA MAURICIO DE ANDRADE  </t>
  </si>
  <si>
    <t>VICENTE DE PAULO CARVALHO</t>
  </si>
  <si>
    <t>131.394.106-97</t>
  </si>
  <si>
    <t>(37) 9 9947-1055</t>
  </si>
  <si>
    <t>AVENIDA FRANCISCO CAMPOS</t>
  </si>
  <si>
    <t>VICTOR LUIZ MAZUTTI LEVY E OUT</t>
  </si>
  <si>
    <t>925.407.088-20</t>
  </si>
  <si>
    <t>(34) 9 8894-4369</t>
  </si>
  <si>
    <t>FAZENDA CANASTRA AGRICOLA LTDA</t>
  </si>
  <si>
    <t>CACHOEIRA DO ZIZICO</t>
  </si>
  <si>
    <t>38185-000</t>
  </si>
  <si>
    <t>TAPIRA</t>
  </si>
  <si>
    <t>VINICIUS CESAR SILVA</t>
  </si>
  <si>
    <t>104.215.416-36</t>
  </si>
  <si>
    <t>(35) 9 9989-0239</t>
  </si>
  <si>
    <t>AVENIDA VEREADOR JOSE HIGINO FILHO</t>
  </si>
  <si>
    <t>VILA CARMELITA</t>
  </si>
  <si>
    <t>35572-302</t>
  </si>
  <si>
    <t>VINICIUS DE SOUZA BORGES CRUVI</t>
  </si>
  <si>
    <t>109.091.156-48</t>
  </si>
  <si>
    <t>AVENIDA JOSE ANANIAS DE AGUIAR</t>
  </si>
  <si>
    <t>38184-200</t>
  </si>
  <si>
    <t>ARAXÁ</t>
  </si>
  <si>
    <t>VINICIUS HENRIQUE DE SOUSA BOR</t>
  </si>
  <si>
    <t>110.449.376-45</t>
  </si>
  <si>
    <t>(37) 9 9948-2300</t>
  </si>
  <si>
    <t>ZONA RURAL</t>
  </si>
  <si>
    <t>VITOR LEITE PEREIRA</t>
  </si>
  <si>
    <t>081.926.106-83</t>
  </si>
  <si>
    <t>AVENIDA JOAO PAULINELI DE CARVALHO</t>
  </si>
  <si>
    <t>WALDER ROSSI DE FIGUEIREDO SOU</t>
  </si>
  <si>
    <t>391.838.746-15</t>
  </si>
  <si>
    <t>(35) 9 8898-5707</t>
  </si>
  <si>
    <t>FAZENDA PAIOL QUEIMADO</t>
  </si>
  <si>
    <t>WANDERLEI BARBOSA DOS SANTOS</t>
  </si>
  <si>
    <t>044.663.996-62</t>
  </si>
  <si>
    <t>(35) 9 9923-6293</t>
  </si>
  <si>
    <t xml:space="preserve">RUA BELMIRO SALUSTIANO </t>
  </si>
  <si>
    <t>PETUNIA</t>
  </si>
  <si>
    <t>37860-000</t>
  </si>
  <si>
    <t>NOVA RESENDE</t>
  </si>
  <si>
    <t>WANDERSON PORTUGAL LEMOS</t>
  </si>
  <si>
    <t>052.026.801-63</t>
  </si>
  <si>
    <t xml:space="preserve">PRACA CORONEL NEVES </t>
  </si>
  <si>
    <t>WARLEY BALDONI</t>
  </si>
  <si>
    <t>502.832.606-10</t>
  </si>
  <si>
    <t>RUA WILSON SILVEIRA LEMOS</t>
  </si>
  <si>
    <t>FAZENDAS</t>
  </si>
  <si>
    <t>PROPRIETARIO</t>
  </si>
  <si>
    <t>Fazenda Boa Esperança</t>
  </si>
  <si>
    <t>001231099.00-27</t>
  </si>
  <si>
    <t>João José Campos</t>
  </si>
  <si>
    <t>001231099.00-28</t>
  </si>
  <si>
    <t>Marco Túlio Lamounier</t>
  </si>
  <si>
    <t>CULTURAS</t>
  </si>
  <si>
    <t>Milho</t>
  </si>
  <si>
    <t>Soja</t>
  </si>
  <si>
    <t>Café</t>
  </si>
  <si>
    <t>Feijão</t>
  </si>
  <si>
    <t>Cereais</t>
  </si>
  <si>
    <t>EQUIPAMENTOS</t>
  </si>
  <si>
    <t>SUBGRUPO</t>
  </si>
  <si>
    <t>VR_COMPRA</t>
  </si>
  <si>
    <t>UN_COMPRA</t>
  </si>
  <si>
    <t>VR_VENDA</t>
  </si>
  <si>
    <t>UN_VENDA</t>
  </si>
  <si>
    <t>VR_LOCACAO</t>
  </si>
  <si>
    <t>UN_LOCACAO</t>
  </si>
  <si>
    <t>VALIDADE</t>
  </si>
  <si>
    <t>TIPO_VENDA</t>
  </si>
  <si>
    <t>TIPO_SERVIÇO</t>
  </si>
  <si>
    <t>Piloto Automático</t>
  </si>
  <si>
    <t>Locação</t>
  </si>
  <si>
    <t>Atualização IC800</t>
  </si>
  <si>
    <t>Suporte</t>
  </si>
  <si>
    <t>Cabo de antena</t>
  </si>
  <si>
    <t>Venda</t>
  </si>
  <si>
    <t>FORNECEDORES</t>
  </si>
  <si>
    <t>CÓD.</t>
  </si>
  <si>
    <t>CPF/CNPJ</t>
  </si>
  <si>
    <t>Itapel Papelaria</t>
  </si>
  <si>
    <t>38.554.762/0001-02</t>
  </si>
  <si>
    <t>(37) 99867-4850</t>
  </si>
  <si>
    <t>Avenida Abílio Machado</t>
  </si>
  <si>
    <t>Sagrado Coração de Jesus</t>
  </si>
  <si>
    <t>35574-348</t>
  </si>
  <si>
    <t>Formiga</t>
  </si>
  <si>
    <t>Nova Ferragista Formiga Ltda</t>
  </si>
  <si>
    <t>35.200.836/0001-14</t>
  </si>
  <si>
    <t>(37) 99958-6528</t>
  </si>
  <si>
    <t>P &amp; G Comercial Ltda</t>
  </si>
  <si>
    <t>05.411.763/0001-49</t>
  </si>
  <si>
    <t>(41) 99123-6585</t>
  </si>
  <si>
    <t>Avenida República Argentina</t>
  </si>
  <si>
    <t>Vila Izabel</t>
  </si>
  <si>
    <t>80620-010</t>
  </si>
  <si>
    <t>Curitiba</t>
  </si>
  <si>
    <t>PR</t>
  </si>
  <si>
    <t>PARCEIROS</t>
  </si>
  <si>
    <t>Timac</t>
  </si>
  <si>
    <t>Ag Leader</t>
  </si>
  <si>
    <t>Labras</t>
  </si>
  <si>
    <t>FUNCIONÁRIOS</t>
  </si>
  <si>
    <t>FUNCAO</t>
  </si>
  <si>
    <t>MOTORISTA</t>
  </si>
  <si>
    <t>SALARIO</t>
  </si>
  <si>
    <t>Lorrayne Karoline Souza</t>
  </si>
  <si>
    <t>122.288.906-42</t>
  </si>
  <si>
    <t>(37) 999827-6435</t>
  </si>
  <si>
    <t>Eng. Agrônoma</t>
  </si>
  <si>
    <t>SIM</t>
  </si>
  <si>
    <t>Cristovão Colombo</t>
  </si>
  <si>
    <t>Nossa Senhora Aparecida</t>
  </si>
  <si>
    <t>Renan Lucio Machado</t>
  </si>
  <si>
    <t>093.664.106-18</t>
  </si>
  <si>
    <t>(35) 99864-0746</t>
  </si>
  <si>
    <t>Técnico de campo</t>
  </si>
  <si>
    <t>Praça Capitão Aurélio</t>
  </si>
  <si>
    <t>Trevo</t>
  </si>
  <si>
    <t>Coqueiral</t>
  </si>
  <si>
    <t>Camila Lopes De Souza</t>
  </si>
  <si>
    <t>118.571.876-10</t>
  </si>
  <si>
    <t>(37) 99944-9264</t>
  </si>
  <si>
    <t>Aux. De Consultoria</t>
  </si>
  <si>
    <t>Itapecerica</t>
  </si>
  <si>
    <t>Santa Luzia</t>
  </si>
  <si>
    <t>Joao Pedro Oliveira Furtado</t>
  </si>
  <si>
    <t>103.018.156-07</t>
  </si>
  <si>
    <t>(37) 99913-9421</t>
  </si>
  <si>
    <t>Aux. De Campo</t>
  </si>
  <si>
    <t xml:space="preserve">Expedicionários </t>
  </si>
  <si>
    <t>Quarteis</t>
  </si>
  <si>
    <t>Brunelly Francine Rocha Barbosa</t>
  </si>
  <si>
    <t>101.555.936-09</t>
  </si>
  <si>
    <t>(37) 9846-0779</t>
  </si>
  <si>
    <t>Aux. Administrativo</t>
  </si>
  <si>
    <t>Frederico Soares de Sousa</t>
  </si>
  <si>
    <t>Vila São Vicente</t>
  </si>
  <si>
    <t>Junior Dos Santos Silva</t>
  </si>
  <si>
    <t>109.976.926- 42</t>
  </si>
  <si>
    <t>(35) 99925-5631</t>
  </si>
  <si>
    <t xml:space="preserve">Boa Esperança </t>
  </si>
  <si>
    <t>Larissa Ayla Silva Teixeira</t>
  </si>
  <si>
    <t>138.736.176-76</t>
  </si>
  <si>
    <t>(37) 99876-3450</t>
  </si>
  <si>
    <t>Benjamim Constant</t>
  </si>
  <si>
    <t xml:space="preserve">Jardim América </t>
  </si>
  <si>
    <t xml:space="preserve">Igor Vinicius Silva </t>
  </si>
  <si>
    <t>136.350.096-10</t>
  </si>
  <si>
    <t>(37) 99808-2549</t>
  </si>
  <si>
    <t>Terezinha Rosalina de Souza</t>
  </si>
  <si>
    <t xml:space="preserve">Novo Horizonte </t>
  </si>
  <si>
    <t>Michelle Cristina Alvarenga</t>
  </si>
  <si>
    <t>134.021.836-41</t>
  </si>
  <si>
    <t>(37) 99959-8037</t>
  </si>
  <si>
    <t>Travessa Geraldina Mendonça</t>
  </si>
  <si>
    <t>Ouro Verde</t>
  </si>
  <si>
    <t xml:space="preserve">Fernanda Leticia Resende Alves </t>
  </si>
  <si>
    <t>114.664.836-79</t>
  </si>
  <si>
    <t>(37) 99907-2289</t>
  </si>
  <si>
    <t>NÃO</t>
  </si>
  <si>
    <t>Cristóvão Colombo</t>
  </si>
  <si>
    <t>Rarden Ribeiro Costa</t>
  </si>
  <si>
    <t>101.836.446-38</t>
  </si>
  <si>
    <t>(37) 99955-3875</t>
  </si>
  <si>
    <t>Técnico de Campo</t>
  </si>
  <si>
    <t>Juca Rodrigues</t>
  </si>
  <si>
    <t>Água Vermelha</t>
  </si>
  <si>
    <t>Antônio Júnior</t>
  </si>
  <si>
    <t>Tais Cristine Da Silva</t>
  </si>
  <si>
    <t>114.444.686-42</t>
  </si>
  <si>
    <t>(37) 99954-7072</t>
  </si>
  <si>
    <t>Recursos Humanos</t>
  </si>
  <si>
    <t>Marechal Deodoro</t>
  </si>
  <si>
    <t>Centro</t>
  </si>
  <si>
    <t>Suelem Fonseca Da Mata</t>
  </si>
  <si>
    <t>156.082.726-25</t>
  </si>
  <si>
    <t>(37) 99857-7806</t>
  </si>
  <si>
    <t>Técnico em geomática</t>
  </si>
  <si>
    <t>Costa Rica</t>
  </si>
  <si>
    <t>Nossa Senhora de Lourdes</t>
  </si>
  <si>
    <t>Ives Langsdorff</t>
  </si>
  <si>
    <t>105.684.236-90</t>
  </si>
  <si>
    <t>(35) 99973-2632</t>
  </si>
  <si>
    <t xml:space="preserve">Francisco Teodoro Faria </t>
  </si>
  <si>
    <t>Ouro Negro</t>
  </si>
  <si>
    <t>Karine Cristina De Faria</t>
  </si>
  <si>
    <t>096.474.236-59</t>
  </si>
  <si>
    <t>(37) 99945-4182</t>
  </si>
  <si>
    <t>Aux. Geoprocessamento</t>
  </si>
  <si>
    <t xml:space="preserve">Av. Abílio Machado </t>
  </si>
  <si>
    <t>SCJ</t>
  </si>
  <si>
    <t>Túlio Alves Miranda Rodrigues</t>
  </si>
  <si>
    <t>131.024.916-42</t>
  </si>
  <si>
    <t>(37) 99159-7535</t>
  </si>
  <si>
    <t>Manoel Gonçalves de Araújo</t>
  </si>
  <si>
    <t>Nova Conquista</t>
  </si>
  <si>
    <t>SERVIÇOS</t>
  </si>
  <si>
    <t>OS</t>
  </si>
  <si>
    <t>CULTURA</t>
  </si>
  <si>
    <t>LABORATORIO</t>
  </si>
  <si>
    <t>VALOR</t>
  </si>
  <si>
    <t>UN</t>
  </si>
  <si>
    <t>VR_COMISSAO</t>
  </si>
  <si>
    <t>UN_COMISSAO</t>
  </si>
  <si>
    <t>VALOR_DESLOC</t>
  </si>
  <si>
    <t>VALOR_HR_TEC</t>
  </si>
  <si>
    <t>CONSULTORIA START SOJA</t>
  </si>
  <si>
    <t>CONSULTORIA</t>
  </si>
  <si>
    <t>SOJA</t>
  </si>
  <si>
    <t>VISITA TECNICA</t>
  </si>
  <si>
    <t>KM</t>
  </si>
  <si>
    <t>GEOPROCESSAMENTO</t>
  </si>
  <si>
    <t>SOLO</t>
  </si>
  <si>
    <t>MILHO</t>
  </si>
  <si>
    <t>ANALISE DE SOLO</t>
  </si>
  <si>
    <t>HÁ</t>
  </si>
  <si>
    <t>FUNÇÕES</t>
  </si>
  <si>
    <t>NIVEL</t>
  </si>
  <si>
    <t>SENHA</t>
  </si>
  <si>
    <t>AMOSTRADOR</t>
  </si>
  <si>
    <t>123</t>
  </si>
  <si>
    <t>FINANCEIRO RECEITA</t>
  </si>
  <si>
    <t>987</t>
  </si>
  <si>
    <t>GERENTE</t>
  </si>
  <si>
    <t>456</t>
  </si>
  <si>
    <t>OPERADOR</t>
  </si>
  <si>
    <t>RH</t>
  </si>
  <si>
    <t>963</t>
  </si>
  <si>
    <t>FINANCEIRO DESPESA</t>
  </si>
  <si>
    <t>654</t>
  </si>
  <si>
    <t>TALHAO</t>
  </si>
  <si>
    <t>FAZENDA</t>
  </si>
  <si>
    <t>MEDIDA</t>
  </si>
  <si>
    <t>AREA A</t>
  </si>
  <si>
    <t>1-OLHOS DAGUA</t>
  </si>
  <si>
    <t>AREA B</t>
  </si>
  <si>
    <t>2-VALE DO SOL</t>
  </si>
  <si>
    <t>AREA 1</t>
  </si>
  <si>
    <t>9-SEGUNDA JOAO</t>
  </si>
  <si>
    <t xml:space="preserve">RUA </t>
  </si>
  <si>
    <t>PLANO DE CONTAS</t>
  </si>
  <si>
    <t>DESCRIÇÃO</t>
  </si>
  <si>
    <t>1.1</t>
  </si>
  <si>
    <t>RECEITAS COM SERVIÇOS</t>
  </si>
  <si>
    <t>1.2</t>
  </si>
  <si>
    <t>RECEITAS COM EQUIPAMENTOS</t>
  </si>
  <si>
    <t>1.3</t>
  </si>
  <si>
    <t>RECEITAS NÃO OPERACIONAL</t>
  </si>
  <si>
    <t>2.1</t>
  </si>
  <si>
    <t>CUSTO COM SERVIÇOS</t>
  </si>
  <si>
    <t>2.2</t>
  </si>
  <si>
    <t>CUSTO COM PRODUTOS</t>
  </si>
  <si>
    <t>2.3</t>
  </si>
  <si>
    <t>DESPESAS NÃO OPERACIONAIS</t>
  </si>
  <si>
    <t>2.4</t>
  </si>
  <si>
    <t>DESPESAS OPERACIONAIS</t>
  </si>
  <si>
    <t>2.5</t>
  </si>
  <si>
    <t>DESPESAS COM RH</t>
  </si>
  <si>
    <t>3.1</t>
  </si>
  <si>
    <t>IMPOSTOS</t>
  </si>
  <si>
    <t>4.1</t>
  </si>
  <si>
    <t>INVESTIMENTOS</t>
  </si>
  <si>
    <t>5.1</t>
  </si>
  <si>
    <t>DIVIDENDOS</t>
  </si>
  <si>
    <t>GRUPO</t>
  </si>
  <si>
    <t>PLANO CONTAS</t>
  </si>
  <si>
    <t>1.1.1</t>
  </si>
  <si>
    <t>CONSULTORIA COMPLETA</t>
  </si>
  <si>
    <t>1.1.2</t>
  </si>
  <si>
    <t>AMOSTRAGEM EM AGRICULTURA DE PRECISÃO</t>
  </si>
  <si>
    <t>1.1.3</t>
  </si>
  <si>
    <t>AMOSTRAGEM CONVENCIONAL</t>
  </si>
  <si>
    <t>1.1.4</t>
  </si>
  <si>
    <t>ANÁLISES</t>
  </si>
  <si>
    <t>1.2.1</t>
  </si>
  <si>
    <t>VENDA EQUIPAMENTO</t>
  </si>
  <si>
    <t>1.2.2</t>
  </si>
  <si>
    <t>LOCAÇÃO EQUIPAMENTO</t>
  </si>
  <si>
    <t>1.2.3</t>
  </si>
  <si>
    <t>SUPORTE TÉCNICO EM EQUIPAMENTO</t>
  </si>
  <si>
    <t>1.3.1</t>
  </si>
  <si>
    <t>OUTROS</t>
  </si>
  <si>
    <t>1.1.1.1</t>
  </si>
  <si>
    <t xml:space="preserve">VISITA TÉCNICA </t>
  </si>
  <si>
    <t>1.1.1.2</t>
  </si>
  <si>
    <t>ACOMPANHAMENTO OP.</t>
  </si>
  <si>
    <t>1.1.3.1</t>
  </si>
  <si>
    <t>RECONHECIMENTO DE ÁREA</t>
  </si>
  <si>
    <t>1.1.1.3</t>
  </si>
  <si>
    <t>REUNIÕES GERAIS</t>
  </si>
  <si>
    <t>1.1.1.4</t>
  </si>
  <si>
    <t>CONFERENCIA DE ESTOQUE</t>
  </si>
  <si>
    <t>1.2.3.1</t>
  </si>
  <si>
    <t>CALIBRAÇÃO MAQ. EQUIP.</t>
  </si>
  <si>
    <t>1.1.7.1</t>
  </si>
  <si>
    <t>MONITORAMENTOS</t>
  </si>
  <si>
    <t>1.1.8.1</t>
  </si>
  <si>
    <t>TESTE DE COMPACTAÇÃO</t>
  </si>
  <si>
    <t>1.1.2.1</t>
  </si>
  <si>
    <t>PRECISÃO GRID DE 1 HA</t>
  </si>
  <si>
    <t>1.1.2.2</t>
  </si>
  <si>
    <t>PRECISÃO GRID DE 2 HA</t>
  </si>
  <si>
    <t>1.1.2.3</t>
  </si>
  <si>
    <t>PRECISÃO GRID DE 3 HA</t>
  </si>
  <si>
    <t>1.1.2.4</t>
  </si>
  <si>
    <t>PRECISÃO GRID DE 1 HA S/ LAUDO</t>
  </si>
  <si>
    <t>1.1.2.5</t>
  </si>
  <si>
    <t>PRECISÃO GRID DE 2 HA S/ LAUDO</t>
  </si>
  <si>
    <t>1.1.2.6</t>
  </si>
  <si>
    <t>PRECISÃO GRID DE 3 HA S/ LAUDO</t>
  </si>
  <si>
    <t>1.1.2.7</t>
  </si>
  <si>
    <t>PRECISÃO GRID DE 1 HA S/ SUBSOLO</t>
  </si>
  <si>
    <t>1.1.2.8</t>
  </si>
  <si>
    <t>PRECISÃO GRID DE 2 HA S/ SUBSOLO</t>
  </si>
  <si>
    <t>1.1.2.9</t>
  </si>
  <si>
    <t>PRECISÃO GRID DE 3 HA S/ SUBSOLO</t>
  </si>
  <si>
    <t>1.1.2.10</t>
  </si>
  <si>
    <t>PRECISÃO CELULA S/ LAUDO</t>
  </si>
  <si>
    <t>1.1.2.11</t>
  </si>
  <si>
    <t>PRECISÃO CELULA C/ LAUDO</t>
  </si>
  <si>
    <t>1.1.20</t>
  </si>
  <si>
    <t>TOP FARM CEREAIS</t>
  </si>
  <si>
    <t>1.1.21</t>
  </si>
  <si>
    <t>TOP FARM CAFÉ OURO</t>
  </si>
  <si>
    <t>1.1.22</t>
  </si>
  <si>
    <t>TOP FARM CAFÉ PRTA</t>
  </si>
  <si>
    <t>CONVENCIONAL S/ SUBSOLO</t>
  </si>
  <si>
    <t>1.1.3.2</t>
  </si>
  <si>
    <t>CONVENCIONAL C/ SUBSOLO</t>
  </si>
  <si>
    <t>1.1.25</t>
  </si>
  <si>
    <t>ANÁLISE DE SOLO</t>
  </si>
  <si>
    <t>1.1.26</t>
  </si>
  <si>
    <t>ANÁLISE DE FOLHA</t>
  </si>
  <si>
    <t>1.1.27</t>
  </si>
  <si>
    <t>ANÁLISE DE SOLO DE 20-40 CM</t>
  </si>
  <si>
    <t>1.1.28</t>
  </si>
  <si>
    <t>ANÁLISE DE SOLO DE 40-60 CM</t>
  </si>
  <si>
    <t>1.1.29</t>
  </si>
  <si>
    <t>ANÁLISE DE NEMATOIDE</t>
  </si>
  <si>
    <t>1.1.30</t>
  </si>
  <si>
    <t>ANÁLISE DE FITOPATOLOGIA</t>
  </si>
  <si>
    <t>1.1.31</t>
  </si>
  <si>
    <t>ANÁLISE DE FOSFÓRO REMANESCENTE</t>
  </si>
  <si>
    <t>1.1.32</t>
  </si>
  <si>
    <t>ANÁLISE TEXTURAL</t>
  </si>
  <si>
    <t>1.1.33</t>
  </si>
  <si>
    <t>ANÁLISE DE COMPACTAÇÃO</t>
  </si>
  <si>
    <t>1.1.34</t>
  </si>
  <si>
    <t>VENDA  CABOS</t>
  </si>
  <si>
    <t>1.1.35</t>
  </si>
  <si>
    <t>VENDA SENSOR DE SEMENTE</t>
  </si>
  <si>
    <t>1.1.36</t>
  </si>
  <si>
    <t>VENDA SENSOR DE VELOCIDADE</t>
  </si>
  <si>
    <t>1.1.38</t>
  </si>
  <si>
    <t>LOCAÇÃO DE PILOTO AUTOMATICO</t>
  </si>
  <si>
    <t>1.1.39</t>
  </si>
  <si>
    <t>SUPORTE EM PLANTADEIRA</t>
  </si>
  <si>
    <t>1.1.40</t>
  </si>
  <si>
    <t>SUPORTE EM PULVERIXADOR</t>
  </si>
  <si>
    <t>1.1.41</t>
  </si>
  <si>
    <t>SUPORTE EM TAXA VARIAVEL</t>
  </si>
  <si>
    <t>1.1.42</t>
  </si>
  <si>
    <t>SUPORTE EM COLHEITADEIRA</t>
  </si>
  <si>
    <t>1.1.43</t>
  </si>
  <si>
    <t>SUPORTE EM BARRA DE LUZ</t>
  </si>
  <si>
    <t>1.1.44</t>
  </si>
  <si>
    <t>SUPORTE EM PILOTO AUTOMATICO</t>
  </si>
  <si>
    <t>1.1.45</t>
  </si>
  <si>
    <t>MAPAS DE PRODUTIVIDADE</t>
  </si>
  <si>
    <t>1.1.46</t>
  </si>
  <si>
    <t>MAPAS DE NDVI</t>
  </si>
  <si>
    <t>1.1.47</t>
  </si>
  <si>
    <t>MAPAS DE HISTÓRICO DE ÁREAS</t>
  </si>
  <si>
    <t>1.1.48</t>
  </si>
  <si>
    <t>MAPAS DE PÓS TRABALHO</t>
  </si>
  <si>
    <t>1.1.49</t>
  </si>
  <si>
    <t>DESLOCAMENTO (KM)</t>
  </si>
  <si>
    <t>2.4.1</t>
  </si>
  <si>
    <t>ALUGUEL</t>
  </si>
  <si>
    <t>2.4.2</t>
  </si>
  <si>
    <t>CEMIG</t>
  </si>
  <si>
    <t>2.4.3</t>
  </si>
  <si>
    <t>SAAE</t>
  </si>
  <si>
    <t>2.4.4</t>
  </si>
  <si>
    <t>INTERNET</t>
  </si>
  <si>
    <t>2.4.5</t>
  </si>
  <si>
    <t>TELEFONE/CELULAR</t>
  </si>
  <si>
    <t>2.4.6</t>
  </si>
  <si>
    <t>CDL</t>
  </si>
  <si>
    <t>2.4.7</t>
  </si>
  <si>
    <t>EDIL SISTEM</t>
  </si>
  <si>
    <t>2.4.8</t>
  </si>
  <si>
    <t>CONTABILIDADE</t>
  </si>
  <si>
    <t>2.4.9</t>
  </si>
  <si>
    <t>PADARIA</t>
  </si>
  <si>
    <t>2.4.10</t>
  </si>
  <si>
    <t>LIMPEZA</t>
  </si>
  <si>
    <t>2.3.1</t>
  </si>
  <si>
    <t>COMPRA/VEÍCULO</t>
  </si>
  <si>
    <t>2.3.2</t>
  </si>
  <si>
    <t>DOC/MULTAS VEÍCULOS</t>
  </si>
  <si>
    <t>2.3.3</t>
  </si>
  <si>
    <t>EQUIPAMENTOS/CAMPO</t>
  </si>
  <si>
    <t>2.3.4</t>
  </si>
  <si>
    <t>EQUIPAMENTOS/FRETE</t>
  </si>
  <si>
    <t>2.3.5</t>
  </si>
  <si>
    <t>DESPESAS DE ESCRITÓRIO</t>
  </si>
  <si>
    <t>2.3.6</t>
  </si>
  <si>
    <t>DESPESAS COM FUNCIONÁRIO</t>
  </si>
  <si>
    <t>2.3.7</t>
  </si>
  <si>
    <t>MANUTENÇÃO DE VEÍCULOS</t>
  </si>
  <si>
    <t>2.3.8</t>
  </si>
  <si>
    <t>DESPESAS COM VEÍCULOS</t>
  </si>
  <si>
    <t>2.3.9</t>
  </si>
  <si>
    <t>DESPESAS PARTICULARES</t>
  </si>
  <si>
    <t>GRUPOS</t>
  </si>
  <si>
    <t>CUSTOS COM PRODUTOS</t>
  </si>
  <si>
    <t>DESPESAS COM PR0DUTOS</t>
  </si>
  <si>
    <t>Equipamentos</t>
  </si>
  <si>
    <t>Compra/veículo</t>
  </si>
  <si>
    <t>1.4.1</t>
  </si>
  <si>
    <t>Salário</t>
  </si>
  <si>
    <t>1.5.1</t>
  </si>
  <si>
    <t>Simples Nacional</t>
  </si>
  <si>
    <t>DESPESAS OPERACIONAIS (FIXAS)</t>
  </si>
  <si>
    <t>1.3.2</t>
  </si>
  <si>
    <t>Doc/Multas Veículos</t>
  </si>
  <si>
    <t>1.4.2</t>
  </si>
  <si>
    <t xml:space="preserve">Vale </t>
  </si>
  <si>
    <t>1.5.2</t>
  </si>
  <si>
    <t>IPTU</t>
  </si>
  <si>
    <t>DESPESAS NÃO OPERACIONAIS (VARIAVÉIS)</t>
  </si>
  <si>
    <t>1.3.3</t>
  </si>
  <si>
    <t>Equipamentos/Campo</t>
  </si>
  <si>
    <t>1.4.4</t>
  </si>
  <si>
    <t>13º Salário</t>
  </si>
  <si>
    <t>1.5.3</t>
  </si>
  <si>
    <t>IPVA</t>
  </si>
  <si>
    <t>1.2.4</t>
  </si>
  <si>
    <t>1.3.4</t>
  </si>
  <si>
    <t>Equipamentos/Frete</t>
  </si>
  <si>
    <t>1.4.5</t>
  </si>
  <si>
    <t>Estágio</t>
  </si>
  <si>
    <t>1.5.4</t>
  </si>
  <si>
    <t>FGTS</t>
  </si>
  <si>
    <t>1.1.5</t>
  </si>
  <si>
    <t>1.2.5</t>
  </si>
  <si>
    <t>1.3.5</t>
  </si>
  <si>
    <t>Despesas de escritório</t>
  </si>
  <si>
    <t>1.4.6</t>
  </si>
  <si>
    <t>comissão</t>
  </si>
  <si>
    <t>1.5.5</t>
  </si>
  <si>
    <t>GPS_Fazenda</t>
  </si>
  <si>
    <t>1.2.6</t>
  </si>
  <si>
    <t>1.3.6</t>
  </si>
  <si>
    <t>Despesas com Funcionário</t>
  </si>
  <si>
    <t>1.4.7</t>
  </si>
  <si>
    <t>Acerto Trabalhista</t>
  </si>
  <si>
    <t>1.5.6</t>
  </si>
  <si>
    <t>RECEITA FEDERAL</t>
  </si>
  <si>
    <t>1.2.7</t>
  </si>
  <si>
    <t>1.3.7</t>
  </si>
  <si>
    <t>Manutenção de Veículos</t>
  </si>
  <si>
    <t>1.2.8</t>
  </si>
  <si>
    <t>1.3.8</t>
  </si>
  <si>
    <t>Despesas com Veículos</t>
  </si>
  <si>
    <t>1.2.9</t>
  </si>
  <si>
    <t>1.3.9</t>
  </si>
  <si>
    <t>Despesas Particulares</t>
  </si>
  <si>
    <t>1.2.10</t>
  </si>
  <si>
    <t>SHEETNAME</t>
  </si>
  <si>
    <t>CB NAME</t>
  </si>
  <si>
    <t>FUNCIONARIOS</t>
  </si>
  <si>
    <t>FUNCOES</t>
  </si>
  <si>
    <t>PLAN_CONTAS</t>
  </si>
  <si>
    <t>SERVICOS</t>
  </si>
  <si>
    <t>MAPA DRE</t>
  </si>
  <si>
    <t>Cod.ContaContabil</t>
  </si>
  <si>
    <t>Cod.DRE</t>
  </si>
  <si>
    <t>Descrição</t>
  </si>
  <si>
    <t>Operação</t>
  </si>
  <si>
    <t>Tipo</t>
  </si>
  <si>
    <t>01.01.00001</t>
  </si>
  <si>
    <t>RECEITA BRUTA</t>
  </si>
  <si>
    <t>( + )</t>
  </si>
  <si>
    <t>A</t>
  </si>
  <si>
    <t>Receita Bruta</t>
  </si>
  <si>
    <t>(+)</t>
  </si>
  <si>
    <t>01.01.00002</t>
  </si>
  <si>
    <t>Deduções da Receita</t>
  </si>
  <si>
    <t>( - )</t>
  </si>
  <si>
    <t>Deduções e abatimentos</t>
  </si>
  <si>
    <t>(-)</t>
  </si>
  <si>
    <t>01.01.00003</t>
  </si>
  <si>
    <t>RECEITA LÍQUIDA</t>
  </si>
  <si>
    <t>ST</t>
  </si>
  <si>
    <t>Receita Líquida</t>
  </si>
  <si>
    <t>01.01.00004</t>
  </si>
  <si>
    <t xml:space="preserve">	Salários e Encargos</t>
  </si>
  <si>
    <t>CPV (Custo de produtos vendidos) ou CMV (Custos de mercadorias vendidas)</t>
  </si>
  <si>
    <t>01.01.00005</t>
  </si>
  <si>
    <t xml:space="preserve">	Gastos com Pessoal</t>
  </si>
  <si>
    <t>Lucro Bruto</t>
  </si>
  <si>
    <t>02.01.00001</t>
  </si>
  <si>
    <t xml:space="preserve">	Insumos Agrícolas</t>
  </si>
  <si>
    <t>Despesas com Vendas</t>
  </si>
  <si>
    <t>03.01.00001</t>
  </si>
  <si>
    <t xml:space="preserve">	Combustíveis e Lubrificantes</t>
  </si>
  <si>
    <t>Despesas Administrativas</t>
  </si>
  <si>
    <t>03.01.00002</t>
  </si>
  <si>
    <t xml:space="preserve">	Energia Elétrica</t>
  </si>
  <si>
    <t>Despesas Financeiras</t>
  </si>
  <si>
    <t>03.01.00003</t>
  </si>
  <si>
    <t xml:space="preserve">	Manutenção</t>
  </si>
  <si>
    <t>Resultado Antes IRPJ CSLL</t>
  </si>
  <si>
    <t>03.01.00004</t>
  </si>
  <si>
    <t xml:space="preserve">	Serviços de Terceiros</t>
  </si>
  <si>
    <t>Provisões IRPJ E CSLL</t>
  </si>
  <si>
    <t>03.02.00001</t>
  </si>
  <si>
    <t xml:space="preserve">	Seguros</t>
  </si>
  <si>
    <t>Resultado Líquido.</t>
  </si>
  <si>
    <t>03.02.00002</t>
  </si>
  <si>
    <t>LUCRO BRUTO</t>
  </si>
  <si>
    <t>03.02.00003</t>
  </si>
  <si>
    <t>Despesas Operacionais</t>
  </si>
  <si>
    <t>03.03.00001</t>
  </si>
  <si>
    <t>EBITDA</t>
  </si>
  <si>
    <t>03.03.00002</t>
  </si>
  <si>
    <t>LUCRO OPERACIONAL</t>
  </si>
  <si>
    <t>03.03.00003</t>
  </si>
  <si>
    <t>Tributos</t>
  </si>
  <si>
    <t>03.03.00004</t>
  </si>
  <si>
    <t>LUCRO LÍQUIDO</t>
  </si>
  <si>
    <t>03.03.00005</t>
  </si>
  <si>
    <t>04.01.00001</t>
  </si>
  <si>
    <t>04.01.00002</t>
  </si>
  <si>
    <t>04.01.00003</t>
  </si>
  <si>
    <t>04.01.00004</t>
  </si>
  <si>
    <t>04.01.00005</t>
  </si>
  <si>
    <t>04.02.00001</t>
  </si>
  <si>
    <t>04.03.00001</t>
  </si>
  <si>
    <t>04.03.00002</t>
  </si>
  <si>
    <t>05.01.00001</t>
  </si>
  <si>
    <t>05.01.00002</t>
  </si>
  <si>
    <t>05.01.00003</t>
  </si>
  <si>
    <t>05.01.00004</t>
  </si>
  <si>
    <t>05.02.00001</t>
  </si>
  <si>
    <t>05.02.00002</t>
  </si>
  <si>
    <t>05.02.00003</t>
  </si>
  <si>
    <t>05.02.00004</t>
  </si>
  <si>
    <t>05.03.00001</t>
  </si>
  <si>
    <t>05.03.00002</t>
  </si>
  <si>
    <t>05.04.00001</t>
  </si>
  <si>
    <t>05.04.00002</t>
  </si>
  <si>
    <t>05.04.00003</t>
  </si>
  <si>
    <t>05.05.00001</t>
  </si>
  <si>
    <t>05.06.00001</t>
  </si>
  <si>
    <t>05.06.00002</t>
  </si>
  <si>
    <t>05.06.00003</t>
  </si>
  <si>
    <t>06.01.00001</t>
  </si>
  <si>
    <t>06.01.00002</t>
  </si>
  <si>
    <t>06.01.00003</t>
  </si>
  <si>
    <t>06.01.00004</t>
  </si>
  <si>
    <t>06.01.00005</t>
  </si>
  <si>
    <t>07.01.00001</t>
  </si>
  <si>
    <t>07.01.00002</t>
  </si>
  <si>
    <t>08.01.00001</t>
  </si>
  <si>
    <t>08.01.00002</t>
  </si>
  <si>
    <t>08.01.00003</t>
  </si>
  <si>
    <t>08.01.00004</t>
  </si>
  <si>
    <t>08.01.00005</t>
  </si>
  <si>
    <t>08.01.00006</t>
  </si>
  <si>
    <t>08.02.00001</t>
  </si>
  <si>
    <t>08.02.00002</t>
  </si>
  <si>
    <t>08.02.00003</t>
  </si>
  <si>
    <t>08.02.00004</t>
  </si>
  <si>
    <t>08.02.00005</t>
  </si>
  <si>
    <t>08.02.00006</t>
  </si>
  <si>
    <t>08.02.00007</t>
  </si>
  <si>
    <t>08.02.00008</t>
  </si>
  <si>
    <t>08.02.00009</t>
  </si>
  <si>
    <t>08.02.00010</t>
  </si>
  <si>
    <t>08.02.00011</t>
  </si>
  <si>
    <t>08.02.00012</t>
  </si>
  <si>
    <t>08.02.00013</t>
  </si>
  <si>
    <t>08.03.00001</t>
  </si>
  <si>
    <t>08.03.00002</t>
  </si>
  <si>
    <t>08.03.00003</t>
  </si>
  <si>
    <t>08.03.00004</t>
  </si>
  <si>
    <t>08.04.00001</t>
  </si>
  <si>
    <t>08.04.00002</t>
  </si>
  <si>
    <t>08.04.00003</t>
  </si>
  <si>
    <t>08.04.00004</t>
  </si>
  <si>
    <t>08.05.00001</t>
  </si>
  <si>
    <t>09.01.00001</t>
  </si>
  <si>
    <t>09.01.00002</t>
  </si>
  <si>
    <t>09.01.00003</t>
  </si>
  <si>
    <t>10.01.00001</t>
  </si>
  <si>
    <t>10.01.00002</t>
  </si>
  <si>
    <t>11.01.00001</t>
  </si>
  <si>
    <t>11.01.00002</t>
  </si>
  <si>
    <t>11.01.00003</t>
  </si>
  <si>
    <t>11.01.00004</t>
  </si>
  <si>
    <t>11.01.00006</t>
  </si>
  <si>
    <t>11.01.00007</t>
  </si>
  <si>
    <t>11.01.00008</t>
  </si>
  <si>
    <t>11.01.00009</t>
  </si>
  <si>
    <t>11.01.00010</t>
  </si>
  <si>
    <t>11.01.00011</t>
  </si>
  <si>
    <t>11.01.00012</t>
  </si>
  <si>
    <t>11.01.00013</t>
  </si>
  <si>
    <t>11.01.00014</t>
  </si>
  <si>
    <t>11.01.00015</t>
  </si>
  <si>
    <t>11.01.00016</t>
  </si>
  <si>
    <t>11.01.00017</t>
  </si>
  <si>
    <t>11.02.00001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</si>
</sst>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(* #,##0_);_(* \(#,##0\);_(* &quot;-&quot;_);_(@_)"/>
    <numFmt numFmtId="165" formatCode="&quot;R$&quot;\ #,##0.00"/>
  </numFmts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theme="1"/>
      <name val="Calibri"/>
      <scheme val="minor"/>
    </font>
    <font>
      <sz val="11"/>
      <color indexed="8"/>
      <name val="Calibri"/>
    </font>
    <font>
      <sz val="10"/>
      <color indexed="8"/>
      <name val="Arial"/>
    </font>
    <font>
      <sz val="11"/>
      <color rgb="FF00000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4D515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5">
    <xf numFmtId="0" fontId="0" fillId="0" borderId="0"/>
    <xf numFmtId="44" fontId="3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9" fillId="0" borderId="0"/>
    <xf numFmtId="0" fontId="6" fillId="0" borderId="0"/>
  </cellStyleXfs>
  <cellXfs count="3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/>
    <xf numFmtId="0" fontId="1" fillId="0" borderId="1" xfId="0" applyFont="1" applyBorder="1"/>
    <xf numFmtId="0" fontId="0" fillId="0" borderId="1" xfId="0" applyBorder="1" applyAlignment="1">
      <alignment wrapText="1"/>
    </xf>
    <xf numFmtId="0" fontId="0" fillId="0" borderId="2" xfId="0" applyBorder="1"/>
    <xf numFmtId="0" fontId="0" fillId="0" borderId="3" xfId="0" applyBorder="1"/>
    <xf numFmtId="165" fontId="0" fillId="0" borderId="0" xfId="1" applyNumberFormat="1" applyFont="1"/>
    <xf numFmtId="165" fontId="0" fillId="0" borderId="0" xfId="1" applyNumberFormat="1" applyFont="1" applyAlignment="1">
      <alignment horizontal="center" vertical="center"/>
    </xf>
    <xf numFmtId="0" fontId="7" fillId="0" borderId="0" xfId="0" applyFont="1"/>
    <xf numFmtId="0" fontId="8" fillId="0" borderId="4" xfId="3" applyFont="1" applyBorder="1" applyAlignment="1">
      <alignment horizontal="right" wrapText="1"/>
    </xf>
    <xf numFmtId="14" fontId="1" fillId="0" borderId="0" xfId="0" applyNumberFormat="1" applyFont="1"/>
    <xf numFmtId="165" fontId="1" fillId="0" borderId="0" xfId="1" applyNumberFormat="1" applyFont="1"/>
    <xf numFmtId="0" fontId="5" fillId="0" borderId="4" xfId="4" applyFont="1" applyBorder="1" applyAlignment="1">
      <alignment horizontal="right" wrapText="1"/>
    </xf>
    <xf numFmtId="165" fontId="1" fillId="0" borderId="0" xfId="0" applyNumberFormat="1" applyFont="1"/>
    <xf numFmtId="165" fontId="0" fillId="0" borderId="0" xfId="0" applyNumberFormat="1"/>
    <xf numFmtId="0" fontId="10" fillId="0" borderId="0" xfId="0" applyFont="1" applyAlignment="1">
      <alignment wrapText="1"/>
    </xf>
    <xf numFmtId="0" fontId="10" fillId="2" borderId="1" xfId="0" applyFont="1" applyFill="1" applyBorder="1" applyAlignment="1">
      <alignment wrapText="1"/>
    </xf>
    <xf numFmtId="0" fontId="1" fillId="0" borderId="0" xfId="0" applyFont="1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wrapText="1"/>
    </xf>
    <xf numFmtId="0" fontId="11" fillId="0" borderId="0" xfId="0" applyFont="1" applyAlignment="1">
      <alignment wrapText="1"/>
    </xf>
    <xf numFmtId="0" fontId="12" fillId="0" borderId="0" xfId="0" applyFont="1" applyAlignment="1">
      <alignment horizontal="center" vertical="center" wrapText="1"/>
    </xf>
    <xf numFmtId="0" fontId="13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</cellXfs>
  <cellStyles count="5">
    <cellStyle name="Moeda" xfId="1" builtinId="4"/>
    <cellStyle name="Normal" xfId="0" builtinId="0"/>
    <cellStyle name="Normal_FAZENDAS" xfId="3" xr:uid="{0B677EF8-9A03-4A27-A646-DD1F759E216C}"/>
    <cellStyle name="Normal_FUNCIONARIOS" xfId="4" xr:uid="{154E08EE-5D3A-4A25-B3A8-854B02680E44}"/>
    <cellStyle name="Separador de milhares [0]_BANCOS" xfId="2" xr:uid="{F5F614D7-3657-4E8E-BE14-E80076B69A2F}"/>
  </cellStyles>
  <dxfs count="5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165" formatCode="&quot;R$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numFmt numFmtId="165" formatCode="&quot;R$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vertical="center" textRotation="0" wrapText="0" indent="0" justifyLastLine="0" shrinkToFit="0" readingOrder="0"/>
    </dxf>
    <dxf>
      <numFmt numFmtId="165" formatCode="&quot;R$&quot;\ #,##0.00"/>
      <alignment horizontal="center" vertical="center" textRotation="0" wrapText="0" indent="0" justifyLastLine="0" shrinkToFit="0" readingOrder="0"/>
    </dxf>
    <dxf>
      <numFmt numFmtId="165" formatCode="&quot;R$&quot;\ 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A000000}" name="bancos" displayName="bancos" ref="A2:G4" totalsRowShown="0" dataDxfId="51">
  <autoFilter ref="A2:G4" xr:uid="{00000000-0009-0000-0100-000001000000}"/>
  <tableColumns count="7">
    <tableColumn id="1" xr3:uid="{00000000-0010-0000-0A00-000001000000}" name="ID" dataDxfId="50"/>
    <tableColumn id="3" xr3:uid="{00000000-0010-0000-0A00-000003000000}" name="EMPRESA" dataDxfId="49"/>
    <tableColumn id="4" xr3:uid="{98DDA200-5158-43B9-9938-DB84461BF29C}" name="DESCRICAO" dataDxfId="48"/>
    <tableColumn id="8" xr3:uid="{7A93313C-3935-416D-99C5-A7842AFBDBA1}" name="TIPO" dataDxfId="47"/>
    <tableColumn id="7" xr3:uid="{37DBCD35-CC01-4620-8A82-9DDAE4D516AA}" name="SALDO_ATUAL" dataDxfId="46"/>
    <tableColumn id="2" xr3:uid="{0DD10B27-1EB4-413E-A5D6-BD9B24055DB5}" name="SALDO_INICIAL" dataDxfId="45"/>
    <tableColumn id="5" xr3:uid="{5D615ADA-D701-4F46-8DD4-96CA271A02A9}" name="ATIVO" dataDxfId="44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empresas" displayName="empresas" ref="A2:D5" totalsRowShown="0" headerRowDxfId="43">
  <autoFilter ref="A2:D5" xr:uid="{00000000-0009-0000-0100-000002000000}"/>
  <tableColumns count="4">
    <tableColumn id="1" xr3:uid="{00000000-0010-0000-0900-000001000000}" name="ID"/>
    <tableColumn id="2" xr3:uid="{00000000-0010-0000-0900-000002000000}" name="NOME"/>
    <tableColumn id="3" xr3:uid="{00000000-0010-0000-0900-000003000000}" name="CNPJ"/>
    <tableColumn id="4" xr3:uid="{711485EE-35C0-44EA-BE3B-70A0119E0F24}" name="ATIVO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B000000}" name="clientes" displayName="clientes" ref="A2:O252" totalsRowShown="0" headerRowDxfId="42" dataDxfId="41">
  <autoFilter ref="A2:O252" xr:uid="{00000000-0009-0000-0100-00000D000000}"/>
  <tableColumns count="15">
    <tableColumn id="1" xr3:uid="{00000000-0010-0000-0B00-000001000000}" name="ID" dataDxfId="40"/>
    <tableColumn id="14" xr3:uid="{00000000-0010-0000-0B00-00000E000000}" name="NOME" dataDxfId="39"/>
    <tableColumn id="2" xr3:uid="{00000000-0010-0000-0B00-000002000000}" name="CPF" dataDxfId="38"/>
    <tableColumn id="3" xr3:uid="{00000000-0010-0000-0B00-000003000000}" name="CELULAR" dataDxfId="37"/>
    <tableColumn id="4" xr3:uid="{00000000-0010-0000-0B00-000004000000}" name="TELEFONE" dataDxfId="36"/>
    <tableColumn id="5" xr3:uid="{00000000-0010-0000-0B00-000005000000}" name="RUA" dataDxfId="35"/>
    <tableColumn id="6" xr3:uid="{00000000-0010-0000-0B00-000006000000}" name="NUM" dataDxfId="34"/>
    <tableColumn id="7" xr3:uid="{00000000-0010-0000-0B00-000007000000}" name="COMPLEMENTO" dataDxfId="33"/>
    <tableColumn id="8" xr3:uid="{00000000-0010-0000-0B00-000008000000}" name="BAIRRO" dataDxfId="32"/>
    <tableColumn id="9" xr3:uid="{00000000-0010-0000-0B00-000009000000}" name="CEP" dataDxfId="31"/>
    <tableColumn id="10" xr3:uid="{00000000-0010-0000-0B00-00000A000000}" name="CIDADE" dataDxfId="30"/>
    <tableColumn id="11" xr3:uid="{00000000-0010-0000-0B00-00000B000000}" name="UF" dataDxfId="29"/>
    <tableColumn id="12" xr3:uid="{00000000-0010-0000-0B00-00000C000000}" name="CREDITO" dataDxfId="28"/>
    <tableColumn id="13" xr3:uid="{00000000-0010-0000-0B00-00000D000000}" name="DATACAD" dataDxfId="27"/>
    <tableColumn id="15" xr3:uid="{84D146B1-E812-4FBA-BC71-625C9B837993}" name="ATIVO" dataDxfId="26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C000000}" name="fazendas" displayName="fazendas" ref="A2:N4" totalsRowShown="0" headerRowDxfId="25">
  <autoFilter ref="A2:N4" xr:uid="{00000000-0009-0000-0100-00000E000000}"/>
  <tableColumns count="14">
    <tableColumn id="1" xr3:uid="{00000000-0010-0000-0C00-000001000000}" name="ID"/>
    <tableColumn id="2" xr3:uid="{00000000-0010-0000-0C00-000002000000}" name="NOME"/>
    <tableColumn id="3" xr3:uid="{00000000-0010-0000-0C00-000003000000}" name="TELEFONE" dataDxfId="24">
      <calculatedColumnFormula>'CLIENTES'!#REF!</calculatedColumnFormula>
    </tableColumn>
    <tableColumn id="4" xr3:uid="{00000000-0010-0000-0C00-000004000000}" name="CNPJ"/>
    <tableColumn id="5" xr3:uid="{ABE816CF-B6F0-40F5-9DF1-F688D4C4B79B}" name="PROPRIETARIO"/>
    <tableColumn id="13" xr3:uid="{7449D877-069F-444D-8BEF-005B131A6150}" name="RUA"/>
    <tableColumn id="12" xr3:uid="{57F614FC-B145-4EA6-9430-3BD1892C745B}" name="NUM"/>
    <tableColumn id="8" xr3:uid="{4DB2719F-6D79-4F87-B6A3-45B5A75403E9}" name="COMPLEMENTO"/>
    <tableColumn id="6" xr3:uid="{601CCA09-EA3E-4925-A234-B7549E3F8B32}" name="BAIRRO"/>
    <tableColumn id="7" xr3:uid="{00000000-0010-0000-0C00-000007000000}" name="CEP" dataDxfId="23">
      <calculatedColumnFormula>'CLIENTES'!#REF!</calculatedColumnFormula>
    </tableColumn>
    <tableColumn id="9" xr3:uid="{00000000-0010-0000-0C00-000009000000}" name="CIDADE" dataDxfId="22">
      <calculatedColumnFormula>'CLIENTES'!#REF!</calculatedColumnFormula>
    </tableColumn>
    <tableColumn id="10" xr3:uid="{00000000-0010-0000-0C00-00000A000000}" name="UF"/>
    <tableColumn id="11" xr3:uid="{00000000-0010-0000-0C00-00000B000000}" name="DATACAD"/>
    <tableColumn id="14" xr3:uid="{0AFE24D6-3503-40EC-AF54-AD11E345647D}" name="ATIVO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10" displayName="Tabela10" ref="A2:C7" totalsRowShown="0" headerRowDxfId="21">
  <autoFilter ref="A2:C7" xr:uid="{00000000-0009-0000-0100-00000A000000}"/>
  <tableColumns count="3">
    <tableColumn id="1" xr3:uid="{00000000-0010-0000-0600-000001000000}" name="ID"/>
    <tableColumn id="2" xr3:uid="{00000000-0010-0000-0600-000002000000}" name="NOME"/>
    <tableColumn id="3" xr3:uid="{8F37D2A8-78EC-48AA-95C7-5F594E70A9D7}" name="ATIVO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D000000}" name="equipamentos" displayName="equipamentos" ref="A2:M5" totalsRowShown="0" headerRowDxfId="20">
  <autoFilter ref="A2:M5" xr:uid="{00000000-0009-0000-0100-00000F000000}"/>
  <tableColumns count="13">
    <tableColumn id="1" xr3:uid="{00000000-0010-0000-0D00-000001000000}" name="ID"/>
    <tableColumn id="2" xr3:uid="{00000000-0010-0000-0D00-000002000000}" name="DESCRICAO"/>
    <tableColumn id="3" xr3:uid="{00000000-0010-0000-0D00-000003000000}" name="SUBGRUPO" dataDxfId="19"/>
    <tableColumn id="4" xr3:uid="{00000000-0010-0000-0D00-000004000000}" name="VR_COMPRA"/>
    <tableColumn id="5" xr3:uid="{00000000-0010-0000-0D00-000005000000}" name="UN_COMPRA"/>
    <tableColumn id="6" xr3:uid="{00000000-0010-0000-0D00-000006000000}" name="VR_VENDA"/>
    <tableColumn id="7" xr3:uid="{00000000-0010-0000-0D00-000007000000}" name="UN_VENDA"/>
    <tableColumn id="8" xr3:uid="{26D546FD-D736-4AA8-8928-926A415B2E7B}" name="VR_LOCACAO"/>
    <tableColumn id="9" xr3:uid="{9A18FDB0-D7D1-466C-8563-1BD7644C9F22}" name="UN_LOCACAO"/>
    <tableColumn id="10" xr3:uid="{7AD5909A-55E7-4F67-AC45-1D0BE74A0A4C}" name="VALIDADE"/>
    <tableColumn id="11" xr3:uid="{D6A116A4-38AB-4CC3-91B5-03A1F1775488}" name="TIPO_VENDA"/>
    <tableColumn id="12" xr3:uid="{A9718456-25A9-4B89-93BA-568806D5ADA7}" name="TIPO_SERVIÇO"/>
    <tableColumn id="13" xr3:uid="{5FA5734E-7B7F-4A26-A4C6-ACE3E8B2FC19}" name="ATIVO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fornecedores" displayName="fornecedores" ref="A2:O5" totalsRowShown="0" headerRowDxfId="18">
  <autoFilter ref="A2:O5" xr:uid="{00000000-0009-0000-0100-00000B000000}"/>
  <tableColumns count="15">
    <tableColumn id="1" xr3:uid="{00000000-0010-0000-0700-000001000000}" name="CÓD."/>
    <tableColumn id="2" xr3:uid="{00000000-0010-0000-0700-000002000000}" name="NOME"/>
    <tableColumn id="3" xr3:uid="{00000000-0010-0000-0700-000003000000}" name="CPF/CNPJ"/>
    <tableColumn id="4" xr3:uid="{00000000-0010-0000-0700-000004000000}" name="CELULAR"/>
    <tableColumn id="5" xr3:uid="{00000000-0010-0000-0700-000005000000}" name="TELEFONE"/>
    <tableColumn id="6" xr3:uid="{00000000-0010-0000-0700-000006000000}" name="RUA"/>
    <tableColumn id="7" xr3:uid="{00000000-0010-0000-0700-000007000000}" name="NUM"/>
    <tableColumn id="13" xr3:uid="{CAAAA35D-0B60-4CEB-BAC8-D131784EF555}" name="COMPLEMENTO"/>
    <tableColumn id="8" xr3:uid="{00000000-0010-0000-0700-000008000000}" name="BAIRRO"/>
    <tableColumn id="9" xr3:uid="{00000000-0010-0000-0700-000009000000}" name="CEP"/>
    <tableColumn id="10" xr3:uid="{00000000-0010-0000-0700-00000A000000}" name="CIDADE"/>
    <tableColumn id="11" xr3:uid="{00000000-0010-0000-0700-00000B000000}" name="UF"/>
    <tableColumn id="12" xr3:uid="{00000000-0010-0000-0700-00000C000000}" name="CREDITO" dataDxfId="17" dataCellStyle="Separador de milhares [0]_BANCOS"/>
    <tableColumn id="15" xr3:uid="{91919168-5AE1-4C11-8706-C27A5F2DA2F8}" name="DATACAD" dataDxfId="16"/>
    <tableColumn id="16" xr3:uid="{D5EFF768-8627-44DC-96CD-B0CEE6658EE0}" name="ATIVO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parceiros" displayName="parceiros" ref="A2:C5" totalsRowShown="0" headerRowDxfId="15">
  <autoFilter ref="A2:C5" xr:uid="{00000000-0009-0000-0100-00000C000000}"/>
  <tableColumns count="3">
    <tableColumn id="1" xr3:uid="{00000000-0010-0000-0800-000001000000}" name="ID"/>
    <tableColumn id="2" xr3:uid="{00000000-0010-0000-0800-000002000000}" name="NOME"/>
    <tableColumn id="3" xr3:uid="{67098F1A-50DF-4F71-9C7A-C0FDD3BD254F}" name="ATIVO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funcionarios" displayName="funcionarios" ref="A2:Q19" totalsRowShown="0" headerRowDxfId="14">
  <autoFilter ref="A2:Q19" xr:uid="{00000000-0009-0000-0100-000006000000}"/>
  <tableColumns count="17">
    <tableColumn id="1" xr3:uid="{00000000-0010-0000-0300-000001000000}" name="ID"/>
    <tableColumn id="2" xr3:uid="{00000000-0010-0000-0300-000002000000}" name="NOME"/>
    <tableColumn id="3" xr3:uid="{00000000-0010-0000-0300-000003000000}" name="CPF"/>
    <tableColumn id="15" xr3:uid="{6EFA51D3-F7FD-4B4E-89D2-1C40389A2CE7}" name="CELULAR"/>
    <tableColumn id="14" xr3:uid="{1A94DD28-9961-41FF-8306-86BB4287FCA4}" name="TELEFONE"/>
    <tableColumn id="16" xr3:uid="{B1BB9A74-E117-4102-AD6A-E6DAADCD89A1}" name="FUNCAO"/>
    <tableColumn id="17" xr3:uid="{3B5AE52D-E16A-428F-A53A-BDB066AD7CFB}" name="MOTORISTA"/>
    <tableColumn id="18" xr3:uid="{616F4443-3F08-4254-8709-5CE3D5043F0C}" name="SALARIO" dataDxfId="13"/>
    <tableColumn id="4" xr3:uid="{00000000-0010-0000-0300-000004000000}" name="RUA"/>
    <tableColumn id="5" xr3:uid="{00000000-0010-0000-0300-000005000000}" name="NUM"/>
    <tableColumn id="19" xr3:uid="{C4EC954C-6BCA-4D66-95F9-310DA2FDD521}" name="COMPLEMENTO"/>
    <tableColumn id="6" xr3:uid="{00000000-0010-0000-0300-000006000000}" name="BAIRRO"/>
    <tableColumn id="20" xr3:uid="{5F96E3B0-A0EE-4CEF-ADB7-52E07B3B51CC}" name="CEP"/>
    <tableColumn id="7" xr3:uid="{00000000-0010-0000-0300-000007000000}" name="CIDADE"/>
    <tableColumn id="8" xr3:uid="{00000000-0010-0000-0300-000008000000}" name="UF"/>
    <tableColumn id="13" xr3:uid="{00000000-0010-0000-0300-00000D000000}" name="DATACAD"/>
    <tableColumn id="21" xr3:uid="{654DFCAE-425E-45A9-B73E-031788936229}" name="ATIVO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ervicos" displayName="servicos" ref="A2:M4" totalsRowShown="0" headerRowDxfId="12">
  <autoFilter ref="A2:M4" xr:uid="{00000000-0009-0000-0100-000008000000}"/>
  <tableColumns count="13">
    <tableColumn id="1" xr3:uid="{00000000-0010-0000-0500-000001000000}" name="ID"/>
    <tableColumn id="2" xr3:uid="{00000000-0010-0000-0500-000002000000}" name="NOME"/>
    <tableColumn id="3" xr3:uid="{00000000-0010-0000-0500-000003000000}" name="OS"/>
    <tableColumn id="4" xr3:uid="{00000000-0010-0000-0500-000004000000}" name="CULTURA"/>
    <tableColumn id="5" xr3:uid="{00000000-0010-0000-0500-000005000000}" name="SUBGRUPO"/>
    <tableColumn id="6" xr3:uid="{00000000-0010-0000-0500-000006000000}" name="LABORATORIO"/>
    <tableColumn id="14" xr3:uid="{305B814B-2F6B-4B5A-9C66-C54BEEC34BAE}" name="VALOR"/>
    <tableColumn id="8" xr3:uid="{00000000-0010-0000-0500-000008000000}" name="UN"/>
    <tableColumn id="9" xr3:uid="{88EBE4FA-D0CA-492D-9C00-9B68EB6C3B47}" name="VR_COMISSAO"/>
    <tableColumn id="10" xr3:uid="{3C17B090-345E-4F29-80E3-17790A428D7D}" name="UN_COMISSAO"/>
    <tableColumn id="11" xr3:uid="{5BC0208D-032A-492A-82A8-2FCDD1870B85}" name="VALOR_DESLOC"/>
    <tableColumn id="12" xr3:uid="{FD265741-4902-4131-B5D6-33EE9B058062}" name="VALOR_HR_TEC"/>
    <tableColumn id="13" xr3:uid="{0CD72B9B-E915-4F2A-AF57-A7BD89E53C21}" name="ATIVO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funcoes" displayName="funcoes" ref="A2:E8" totalsRowShown="0" headerRowDxfId="11">
  <autoFilter ref="A2:E8" xr:uid="{00000000-0009-0000-0100-000007000000}"/>
  <tableColumns count="5">
    <tableColumn id="1" xr3:uid="{00000000-0010-0000-0400-000001000000}" name="ID"/>
    <tableColumn id="2" xr3:uid="{00000000-0010-0000-0400-000002000000}" name="NOME"/>
    <tableColumn id="4" xr3:uid="{00000000-0010-0000-0400-000004000000}" name="NIVEL"/>
    <tableColumn id="3" xr3:uid="{00000000-0010-0000-0400-000003000000}" name="SENHA"/>
    <tableColumn id="5" xr3:uid="{E03690E0-B349-4C6A-A32B-F994E664C93F}" name="ATIVO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3BEEA75-1332-482F-8751-F2FF9825E3D5}" name="TALHAO" displayName="TALHAO" ref="A2:E6" totalsRowShown="0" headerRowDxfId="10">
  <autoFilter ref="A2:E6" xr:uid="{23BEEA75-1332-482F-8751-F2FF9825E3D5}"/>
  <tableColumns count="5">
    <tableColumn id="1" xr3:uid="{19618FA9-58A4-4878-962F-8E6E658C3B5B}" name="ID"/>
    <tableColumn id="2" xr3:uid="{B5F45773-98FC-4EFD-B6E1-93FE21542344}" name="NOME"/>
    <tableColumn id="4" xr3:uid="{0CFBC613-0B56-4FBD-8420-3B1DD9AD7C0E}" name="FAZENDA"/>
    <tableColumn id="3" xr3:uid="{DEAD9502-9757-4E04-A792-6DEC3B21B9DF}" name="MEDIDA"/>
    <tableColumn id="5" xr3:uid="{33E9FC27-205D-4A18-9C06-3F91E888A3C9}" name="ATIVO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636C938-BBD5-4225-A665-9C127EFD7EEA}" name="TALHAO26" displayName="TALHAO26" ref="A1:N2" totalsRowShown="0" headerRowDxfId="9">
  <autoFilter ref="A1:N2" xr:uid="{6636C938-BBD5-4225-A665-9C127EFD7EEA}"/>
  <tableColumns count="14">
    <tableColumn id="1" xr3:uid="{60AB9DA4-2DA7-4546-811D-E8F333CB59A2}" name="ID"/>
    <tableColumn id="2" xr3:uid="{C7F28451-0718-4F2C-B339-53DA0C2AFCB1}" name="NOME"/>
    <tableColumn id="4" xr3:uid="{C632AB3F-CB2C-4AA4-8023-EC0B632EE2AE}" name="CNPJ"/>
    <tableColumn id="3" xr3:uid="{E0ACC3D3-4B5F-4798-8670-D9E706309AFF}" name="TELEFONE"/>
    <tableColumn id="5" xr3:uid="{53F58AFC-7DF7-4F13-AF5F-22EACCFDB18F}" name="PROPRIETARIO"/>
    <tableColumn id="6" xr3:uid="{A82DFD10-4002-4E42-B7A1-F14115DE1F63}" name="RUA "/>
    <tableColumn id="7" xr3:uid="{477B9912-5D55-48AD-8C5E-2AE91AB2269B}" name="NUM"/>
    <tableColumn id="8" xr3:uid="{1A7446C5-6E9F-46BF-A68D-4303377BEE6C}" name="COMPLEMENTO"/>
    <tableColumn id="9" xr3:uid="{BEE71A0F-B45D-4817-873A-727A10DA1FCD}" name="BAIRRO"/>
    <tableColumn id="10" xr3:uid="{437D1C6D-0168-4717-975C-88CEE040B859}" name="CEP"/>
    <tableColumn id="11" xr3:uid="{56D1DA30-28B8-4424-AACD-0BCC169F2E5A}" name="CIDADE"/>
    <tableColumn id="12" xr3:uid="{FA7F9822-DC88-42B9-B7AF-9F29EB62DE36}" name="UF"/>
    <tableColumn id="13" xr3:uid="{0442FBB8-A84C-4CA9-A9A9-8BC714E1635B}" name="DATACAD"/>
    <tableColumn id="14" xr3:uid="{E604D3BC-43B8-4BE9-AA91-9520D58F5B0D}" name="ATIVO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EAAD9C71-347B-4421-B875-61449469C976}" name="planContas27" displayName="planContas27" ref="A2:B13" totalsRowShown="0">
  <autoFilter ref="A2:B13" xr:uid="{EAAD9C71-347B-4421-B875-61449469C976}"/>
  <tableColumns count="2">
    <tableColumn id="1" xr3:uid="{40E96AA6-63E4-4208-BF7A-E6CBF40C349C}" name="ID" dataDxfId="8"/>
    <tableColumn id="2" xr3:uid="{AD53CF4F-DA3D-4EEB-A27D-E216D898DCDB}" name="DESCRIÇÃO"/>
  </tableColumns>
  <tableStyleInfo name="TableStyleLight1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D67E008-D41A-4950-B7F9-895FFBDCABD9}" name="grupo28" displayName="grupo28" ref="A2:C10" totalsRowShown="0" headerRowDxfId="7">
  <autoFilter ref="A2:C10" xr:uid="{AD67E008-D41A-4950-B7F9-895FFBDCABD9}"/>
  <tableColumns count="3">
    <tableColumn id="1" xr3:uid="{1363D5F7-3F4A-41B4-BE46-F6000A28F7DB}" name="ID"/>
    <tableColumn id="2" xr3:uid="{064BB2DF-5BAD-400E-A7ED-C4E9F98B37D3}" name="DESCRIÇÃO"/>
    <tableColumn id="3" xr3:uid="{35EC31F6-175F-4B5F-ABED-4DC22FA32829}" name="PLANO CONTAS">
      <calculatedColumnFormula>MID(grupo28[[#This Row],[ID]],1,3)</calculatedColumnFormula>
    </tableColumn>
  </tableColumns>
  <tableStyleInfo name="TableStyleLight1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BB26C26-F4C8-460C-93A9-53FFC22BC086}" name="subGrupo29" displayName="subGrupo29" ref="A2:C69" totalsRowShown="0" headerRowDxfId="6">
  <autoFilter ref="A2:C69" xr:uid="{6BB26C26-F4C8-460C-93A9-53FFC22BC086}"/>
  <tableColumns count="3">
    <tableColumn id="1" xr3:uid="{1C6A1A27-5F11-4CB8-ABEC-00AFE320FE93}" name="ID"/>
    <tableColumn id="2" xr3:uid="{51DC90D0-346C-442D-8A91-93844C0EF437}" name="DESCRIÇÃO"/>
    <tableColumn id="3" xr3:uid="{2158AD41-1B54-42DE-9B83-037EA1CB6C83}" name="GRUPO" dataDxfId="5">
      <calculatedColumnFormula>MID(subGrupo29[[#This Row],[ID]],1,5)</calculatedColumnFormula>
    </tableColumn>
  </tableColumns>
  <tableStyleInfo name="TableStyleLight14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lanContas" displayName="planContas" ref="A2:B13" totalsRowShown="0">
  <autoFilter ref="A2:B13" xr:uid="{00000000-0009-0000-0100-000003000000}"/>
  <tableColumns count="2">
    <tableColumn id="1" xr3:uid="{00000000-0010-0000-0000-000001000000}" name="ID" dataDxfId="4"/>
    <tableColumn id="2" xr3:uid="{00000000-0010-0000-0000-000002000000}" name="DESCRIÇÃO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grupo" displayName="grupo" ref="D2:F10" totalsRowShown="0" headerRowDxfId="3">
  <autoFilter ref="D2:F10" xr:uid="{00000000-0009-0000-0100-000004000000}"/>
  <tableColumns count="3">
    <tableColumn id="1" xr3:uid="{00000000-0010-0000-0100-000001000000}" name="ID"/>
    <tableColumn id="2" xr3:uid="{00000000-0010-0000-0100-000002000000}" name="DESCRIÇÃO"/>
    <tableColumn id="3" xr3:uid="{00000000-0010-0000-0100-000003000000}" name="PLANO CONTAS">
      <calculatedColumnFormula>MID(grupo[[#This Row],[ID]],1,3)</calculatedColumnFormula>
    </tableColumn>
  </tableColumns>
  <tableStyleInfo name="TableStyleLight1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subGrupo" displayName="subGrupo" ref="H2:J69" totalsRowShown="0" headerRowDxfId="2">
  <autoFilter ref="H2:J69" xr:uid="{00000000-0009-0000-0100-000005000000}"/>
  <tableColumns count="3">
    <tableColumn id="1" xr3:uid="{00000000-0010-0000-0200-000001000000}" name="ID"/>
    <tableColumn id="2" xr3:uid="{00000000-0010-0000-0200-000002000000}" name="DESCRIÇÃO"/>
    <tableColumn id="3" xr3:uid="{00000000-0010-0000-0200-000003000000}" name="GRUPO" dataDxfId="1">
      <calculatedColumnFormula>MID(subGrupo[[#This Row],[ID]],1,5)</calculatedColumnFormula>
    </tableColumn>
  </tableColumns>
  <tableStyleInfo name="TableStyleLight14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726B259-2716-448B-95EE-28FC1E4D38E0}" name="Tabela18" displayName="Tabela18" ref="E2:G4" totalsRowShown="0">
  <autoFilter ref="E2:G4" xr:uid="{2726B259-2716-448B-95EE-28FC1E4D38E0}"/>
  <tableColumns count="3">
    <tableColumn id="1" xr3:uid="{115C6179-EC57-4F39-B599-EC3617072AA6}" name="ID"/>
    <tableColumn id="2" xr3:uid="{2830E142-4402-4EA7-ACF5-43E46682A029}" name="CUSTOS COM PRODUTOS"/>
    <tableColumn id="3" xr3:uid="{9CCEE476-C60E-41F9-AE87-F98C292018CA}" name="TIPO"/>
  </tableColumns>
  <tableStyleInfo name="TableStyleLight14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D7398CF-A09F-43D0-9255-44250B0926DE}" name="Tabela19" displayName="Tabela19" ref="I2:K12" totalsRowShown="0">
  <autoFilter ref="I2:K12" xr:uid="{3D7398CF-A09F-43D0-9255-44250B0926DE}"/>
  <tableColumns count="3">
    <tableColumn id="1" xr3:uid="{2F22BB8F-C1C2-4E51-AAB9-95F3682542AD}" name="ID"/>
    <tableColumn id="2" xr3:uid="{A40617FB-86C7-4F86-9399-FAB3155F1ADD}" name="DESPESAS OPERACIONAIS"/>
    <tableColumn id="3" xr3:uid="{8087A0B7-18BE-45C7-B57E-A4D9E79AE7D3}" name="TIPO"/>
  </tableColumns>
  <tableStyleInfo name="TableStyleLight14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EE95217-5FFC-44A1-A9B9-5C51B9FAF103}" name="Tabela20" displayName="Tabela20" ref="M2:O12" totalsRowShown="0">
  <autoFilter ref="M2:O12" xr:uid="{2EE95217-5FFC-44A1-A9B9-5C51B9FAF103}"/>
  <tableColumns count="3">
    <tableColumn id="1" xr3:uid="{28648306-28C5-47BA-B7D5-36DAD7A27C77}" name="ID"/>
    <tableColumn id="2" xr3:uid="{F3B6CD01-072D-4B97-92CC-5E7F818DABB3}" name="DESPESAS NÃO OPERACIONAIS"/>
    <tableColumn id="3" xr3:uid="{3F2D72A5-C29F-4828-A91D-527495E0C72B}" name="TIPO"/>
  </tableColumns>
  <tableStyleInfo name="TableStyleLight14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CDFAF9D-1472-4B93-A2C8-F9DC0A0AE0AD}" name="Tabela21" displayName="Tabela21" ref="Q2:S8" totalsRowShown="0">
  <autoFilter ref="Q2:S8" xr:uid="{1CDFAF9D-1472-4B93-A2C8-F9DC0A0AE0AD}"/>
  <tableColumns count="3">
    <tableColumn id="1" xr3:uid="{1FCD19C1-328D-4248-95C9-C80D1236A64D}" name="ID"/>
    <tableColumn id="2" xr3:uid="{3F19ABDB-010B-41F0-BA84-A7F31E449958}" name="DESPESAS COM RH"/>
    <tableColumn id="3" xr3:uid="{3BFA18E7-2373-4D29-9CB7-A8CC9ABF97E1}" name="TIPO"/>
  </tableColumns>
  <tableStyleInfo name="TableStyleLight14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01C5ABD-A024-46D4-A1D0-7D79292C01B4}" name="Tabela22" displayName="Tabela22" ref="U2:W8" totalsRowShown="0">
  <autoFilter ref="U2:W8" xr:uid="{401C5ABD-A024-46D4-A1D0-7D79292C01B4}"/>
  <tableColumns count="3">
    <tableColumn id="1" xr3:uid="{E88117DE-3A4B-4E6D-A312-6A6EA0F7B6B6}" name="ID"/>
    <tableColumn id="2" xr3:uid="{5E45A061-261A-4B2F-BC1C-CEF6FFAC0EF3}" name="IMPOSTOS"/>
    <tableColumn id="4" xr3:uid="{DF285A36-42C0-4722-AA49-96111C6E2F6A}" name="TIPO"/>
  </tableColumns>
  <tableStyleInfo name="TableStyleLight14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F277F9E-4BC1-4D73-9CC3-75D437EF0D72}" name="Grupos" displayName="Grupos" ref="B2:C7" totalsRowShown="0">
  <autoFilter ref="B2:C7" xr:uid="{6F277F9E-4BC1-4D73-9CC3-75D437EF0D72}"/>
  <tableColumns count="2">
    <tableColumn id="1" xr3:uid="{92952259-DD53-42C0-90C2-BB3A07E7D086}" name="ID"/>
    <tableColumn id="2" xr3:uid="{D6D26636-3195-427D-AC3C-21D12282326C}" name="GRUPOS"/>
  </tableColumns>
  <tableStyleInfo name="TableStyleLight14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809BF62-1202-4F65-B37E-C2A224907C82}" name="Tabela9" displayName="Tabela9" ref="A1:B13" totalsRowShown="0">
  <autoFilter ref="A1:B13" xr:uid="{1809BF62-1202-4F65-B37E-C2A224907C82}"/>
  <tableColumns count="2">
    <tableColumn id="1" xr3:uid="{837C2FBB-3597-4C8F-BCED-2A25D0D0C60B}" name="SHEETNAME"/>
    <tableColumn id="2" xr3:uid="{D47EFCAC-01C6-40F4-838E-8EEED8F4E395}" name="CB NAME"/>
  </tableColumns>
  <tableStyleInfo name="TableStyleLight14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2615CE-95B2-4CD6-B4A8-1119209B153D}" name="mapaDRE" displayName="mapaDRE" ref="A2:B102" totalsRowShown="0" headerRowDxfId="0">
  <autoFilter ref="A2:B102" xr:uid="{6C2615CE-95B2-4CD6-B4A8-1119209B153D}"/>
  <tableColumns count="2">
    <tableColumn id="1" xr3:uid="{1D721DA3-2DAB-43CA-B531-E21FEF0EDA7C}" name="Cod.ContaContabil"/>
    <tableColumn id="2" xr3:uid="{C99BC88F-74D9-41FC-848E-948E829B0C52}" name="Cod.DRE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Relationship Id="rId6" Type="http://schemas.openxmlformats.org/officeDocument/2006/relationships/table" Target="../tables/table25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ancos"/>
  <dimension ref="A1:H4"/>
  <sheetViews>
    <sheetView workbookViewId="0">
      <selection activeCell="C21" sqref="C21"/>
    </sheetView>
  </sheetViews>
  <sheetFormatPr defaultRowHeight="15"/>
  <cols>
    <col min="1" max="1" width="5.140625" bestFit="1" customWidth="1"/>
    <col min="2" max="2" width="19.42578125" bestFit="1" customWidth="1"/>
    <col min="3" max="3" width="14.42578125" bestFit="1" customWidth="1"/>
    <col min="4" max="4" width="13.42578125" bestFit="1" customWidth="1"/>
    <col min="5" max="6" width="9.140625" style="13"/>
    <col min="7" max="7" width="12.42578125" bestFit="1" customWidth="1"/>
  </cols>
  <sheetData>
    <row r="1" spans="1:8" ht="18.75">
      <c r="A1" s="36" t="s">
        <v>0</v>
      </c>
      <c r="B1" s="36"/>
    </row>
    <row r="2" spans="1:8">
      <c r="A2" t="s">
        <v>1</v>
      </c>
      <c r="B2" t="s">
        <v>2</v>
      </c>
      <c r="C2" t="s">
        <v>3</v>
      </c>
      <c r="D2" t="s">
        <v>4</v>
      </c>
      <c r="E2" s="13" t="s">
        <v>5</v>
      </c>
      <c r="F2" s="13" t="s">
        <v>6</v>
      </c>
      <c r="G2" t="s">
        <v>7</v>
      </c>
    </row>
    <row r="3" spans="1:8">
      <c r="A3" s="6">
        <v>1</v>
      </c>
      <c r="B3" s="6" t="s">
        <v>8</v>
      </c>
      <c r="C3" s="6" t="s">
        <v>9</v>
      </c>
      <c r="D3" s="6" t="s">
        <v>10</v>
      </c>
      <c r="E3" s="14">
        <v>0</v>
      </c>
      <c r="F3" s="14">
        <v>0</v>
      </c>
      <c r="G3" s="6" t="b">
        <v>1</v>
      </c>
      <c r="H3" s="6"/>
    </row>
    <row r="4" spans="1:8">
      <c r="A4" s="6">
        <v>2</v>
      </c>
      <c r="B4" s="6" t="s">
        <v>11</v>
      </c>
      <c r="C4" s="6" t="s">
        <v>12</v>
      </c>
      <c r="D4" s="6" t="s">
        <v>10</v>
      </c>
      <c r="E4" s="14">
        <v>0</v>
      </c>
      <c r="F4" s="14">
        <v>0</v>
      </c>
      <c r="G4" s="6" t="b">
        <v>1</v>
      </c>
      <c r="H4" s="6"/>
    </row>
  </sheetData>
  <mergeCells count="1">
    <mergeCell ref="A1:B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empresas"/>
  <dimension ref="A1:D5"/>
  <sheetViews>
    <sheetView workbookViewId="0">
      <selection activeCell="B10" sqref="B10"/>
    </sheetView>
  </sheetViews>
  <sheetFormatPr defaultRowHeight="15"/>
  <cols>
    <col min="1" max="1" width="7.140625" bestFit="1" customWidth="1"/>
    <col min="2" max="2" width="46.85546875" bestFit="1" customWidth="1"/>
    <col min="3" max="3" width="18" bestFit="1" customWidth="1"/>
    <col min="4" max="4" width="12.42578125" bestFit="1" customWidth="1"/>
  </cols>
  <sheetData>
    <row r="1" spans="1:4" ht="18.75">
      <c r="A1" s="36" t="s">
        <v>13</v>
      </c>
      <c r="B1" s="36"/>
      <c r="C1" s="36"/>
      <c r="D1" s="36"/>
    </row>
    <row r="2" spans="1:4">
      <c r="A2" s="2" t="s">
        <v>1</v>
      </c>
      <c r="B2" s="2" t="s">
        <v>14</v>
      </c>
      <c r="C2" s="2" t="s">
        <v>15</v>
      </c>
      <c r="D2" s="15" t="s">
        <v>7</v>
      </c>
    </row>
    <row r="3" spans="1:4">
      <c r="A3">
        <v>1</v>
      </c>
      <c r="B3" t="s">
        <v>16</v>
      </c>
      <c r="C3" t="s">
        <v>17</v>
      </c>
      <c r="D3" t="b">
        <v>1</v>
      </c>
    </row>
    <row r="4" spans="1:4">
      <c r="A4">
        <v>2</v>
      </c>
      <c r="B4" t="s">
        <v>18</v>
      </c>
      <c r="C4" t="s">
        <v>19</v>
      </c>
      <c r="D4" t="b">
        <v>1</v>
      </c>
    </row>
    <row r="5" spans="1:4">
      <c r="A5">
        <v>3</v>
      </c>
      <c r="B5" t="s">
        <v>20</v>
      </c>
      <c r="C5" t="s">
        <v>21</v>
      </c>
      <c r="D5" t="b">
        <v>1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clientes"/>
  <dimension ref="A1:O252"/>
  <sheetViews>
    <sheetView tabSelected="1" workbookViewId="0">
      <selection activeCell="F9" sqref="F9"/>
    </sheetView>
  </sheetViews>
  <sheetFormatPr defaultRowHeight="15"/>
  <cols>
    <col min="1" max="1" width="5.140625" style="29" bestFit="1" customWidth="1"/>
    <col min="2" max="2" width="42" style="29" customWidth="1"/>
    <col min="3" max="3" width="20.85546875" style="29" customWidth="1"/>
    <col min="4" max="4" width="20.140625" style="29" customWidth="1"/>
    <col min="5" max="5" width="14.85546875" style="29" customWidth="1"/>
    <col min="6" max="6" width="30.5703125" style="29" customWidth="1"/>
    <col min="7" max="7" width="8" style="29" bestFit="1" customWidth="1"/>
    <col min="8" max="8" width="17.5703125" style="29" bestFit="1" customWidth="1"/>
    <col min="9" max="9" width="21.42578125" style="29" customWidth="1"/>
    <col min="10" max="10" width="13" style="29" customWidth="1"/>
    <col min="11" max="11" width="25.7109375" style="29" customWidth="1"/>
    <col min="12" max="12" width="9.5703125" style="29" customWidth="1"/>
    <col min="13" max="13" width="13.28515625" style="29" bestFit="1" customWidth="1"/>
    <col min="14" max="14" width="14.7109375" style="29" customWidth="1"/>
    <col min="15" max="15" width="12.42578125" style="29" bestFit="1" customWidth="1"/>
    <col min="16" max="17" width="11.28515625" style="29" bestFit="1" customWidth="1"/>
    <col min="18" max="18" width="12" style="29" bestFit="1" customWidth="1"/>
    <col min="19" max="19" width="10.5703125" style="29" customWidth="1"/>
    <col min="20" max="16384" width="9.140625" style="29"/>
  </cols>
  <sheetData>
    <row r="1" spans="1:15">
      <c r="A1" s="37" t="s">
        <v>22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</row>
    <row r="2" spans="1:15">
      <c r="A2" s="24" t="s">
        <v>1</v>
      </c>
      <c r="B2" s="24" t="s">
        <v>14</v>
      </c>
      <c r="C2" s="24" t="s">
        <v>23</v>
      </c>
      <c r="D2" s="24" t="s">
        <v>24</v>
      </c>
      <c r="E2" s="24" t="s">
        <v>25</v>
      </c>
      <c r="F2" s="24" t="s">
        <v>26</v>
      </c>
      <c r="G2" s="24" t="s">
        <v>27</v>
      </c>
      <c r="H2" s="24" t="s">
        <v>28</v>
      </c>
      <c r="I2" s="24" t="s">
        <v>29</v>
      </c>
      <c r="J2" s="24" t="s">
        <v>30</v>
      </c>
      <c r="K2" s="24" t="s">
        <v>31</v>
      </c>
      <c r="L2" s="24" t="s">
        <v>32</v>
      </c>
      <c r="M2" s="24" t="s">
        <v>33</v>
      </c>
      <c r="N2" s="24" t="s">
        <v>34</v>
      </c>
      <c r="O2" s="24" t="s">
        <v>7</v>
      </c>
    </row>
    <row r="3" spans="1:15">
      <c r="B3" s="29" t="s">
        <v>35</v>
      </c>
      <c r="C3" s="29" t="s">
        <v>36</v>
      </c>
      <c r="D3" s="29" t="s">
        <v>37</v>
      </c>
      <c r="F3" s="29" t="s">
        <v>38</v>
      </c>
      <c r="H3" s="29" t="s">
        <v>39</v>
      </c>
      <c r="I3" s="29" t="s">
        <v>40</v>
      </c>
      <c r="J3" s="29" t="s">
        <v>41</v>
      </c>
      <c r="K3" s="29" t="s">
        <v>42</v>
      </c>
      <c r="L3" s="29" t="s">
        <v>43</v>
      </c>
      <c r="M3" s="25"/>
      <c r="O3" s="29" t="b">
        <v>1</v>
      </c>
    </row>
    <row r="4" spans="1:15">
      <c r="B4" s="29" t="s">
        <v>44</v>
      </c>
      <c r="C4" s="29" t="s">
        <v>45</v>
      </c>
      <c r="D4" s="29" t="s">
        <v>46</v>
      </c>
      <c r="F4" s="29" t="s">
        <v>47</v>
      </c>
      <c r="G4" s="29">
        <v>140</v>
      </c>
      <c r="I4" s="29" t="s">
        <v>48</v>
      </c>
      <c r="J4" s="29" t="s">
        <v>49</v>
      </c>
      <c r="K4" s="29" t="s">
        <v>50</v>
      </c>
      <c r="L4" s="29" t="s">
        <v>43</v>
      </c>
    </row>
    <row r="5" spans="1:15">
      <c r="B5" s="29" t="s">
        <v>51</v>
      </c>
      <c r="C5" s="29" t="s">
        <v>52</v>
      </c>
      <c r="D5" s="29" t="s">
        <v>53</v>
      </c>
      <c r="F5" s="29" t="s">
        <v>54</v>
      </c>
      <c r="G5" s="29">
        <v>537</v>
      </c>
      <c r="I5" s="29" t="s">
        <v>55</v>
      </c>
      <c r="J5" s="29" t="s">
        <v>56</v>
      </c>
      <c r="K5" s="29" t="s">
        <v>57</v>
      </c>
      <c r="L5" s="29" t="s">
        <v>43</v>
      </c>
    </row>
    <row r="6" spans="1:15">
      <c r="B6" s="29" t="s">
        <v>58</v>
      </c>
      <c r="C6" s="29" t="s">
        <v>59</v>
      </c>
      <c r="D6" s="29" t="s">
        <v>60</v>
      </c>
      <c r="F6" s="29" t="s">
        <v>61</v>
      </c>
      <c r="I6" s="29" t="s">
        <v>40</v>
      </c>
      <c r="J6" s="29" t="s">
        <v>49</v>
      </c>
      <c r="K6" s="29" t="s">
        <v>50</v>
      </c>
      <c r="L6" s="29" t="s">
        <v>43</v>
      </c>
    </row>
    <row r="7" spans="1:15">
      <c r="B7" s="29" t="s">
        <v>62</v>
      </c>
      <c r="C7" s="29" t="s">
        <v>63</v>
      </c>
      <c r="J7" s="29" t="s">
        <v>49</v>
      </c>
      <c r="K7" s="29" t="s">
        <v>64</v>
      </c>
      <c r="L7" s="29" t="s">
        <v>43</v>
      </c>
    </row>
    <row r="8" spans="1:15">
      <c r="B8" s="29" t="s">
        <v>65</v>
      </c>
      <c r="C8" s="29" t="s">
        <v>66</v>
      </c>
      <c r="D8" s="29" t="s">
        <v>67</v>
      </c>
      <c r="F8" s="29" t="s">
        <v>68</v>
      </c>
      <c r="I8" s="29" t="s">
        <v>40</v>
      </c>
      <c r="J8" s="29" t="s">
        <v>69</v>
      </c>
      <c r="K8" s="29" t="s">
        <v>70</v>
      </c>
      <c r="L8" s="29" t="s">
        <v>43</v>
      </c>
    </row>
    <row r="9" spans="1:15" ht="45">
      <c r="B9" s="29" t="s">
        <v>71</v>
      </c>
      <c r="C9" s="29" t="s">
        <v>72</v>
      </c>
      <c r="D9" s="29" t="s">
        <v>73</v>
      </c>
      <c r="F9" s="29" t="s">
        <v>74</v>
      </c>
      <c r="I9" s="29" t="s">
        <v>40</v>
      </c>
      <c r="J9" s="29" t="s">
        <v>75</v>
      </c>
      <c r="K9" s="29" t="s">
        <v>76</v>
      </c>
      <c r="L9" s="29" t="s">
        <v>43</v>
      </c>
    </row>
    <row r="10" spans="1:15" ht="30">
      <c r="B10" s="29" t="s">
        <v>77</v>
      </c>
      <c r="C10" s="29" t="s">
        <v>78</v>
      </c>
      <c r="D10" s="29" t="s">
        <v>79</v>
      </c>
      <c r="F10" s="29" t="s">
        <v>80</v>
      </c>
      <c r="I10" s="29" t="s">
        <v>40</v>
      </c>
      <c r="J10" s="29" t="s">
        <v>81</v>
      </c>
      <c r="K10" s="29" t="s">
        <v>82</v>
      </c>
      <c r="L10" s="29" t="s">
        <v>43</v>
      </c>
    </row>
    <row r="11" spans="1:15" ht="30">
      <c r="B11" s="29" t="s">
        <v>83</v>
      </c>
      <c r="C11" s="29" t="s">
        <v>84</v>
      </c>
      <c r="D11" s="29" t="s">
        <v>85</v>
      </c>
      <c r="F11" s="22" t="s">
        <v>86</v>
      </c>
      <c r="I11" s="29" t="s">
        <v>40</v>
      </c>
      <c r="J11" s="29" t="s">
        <v>87</v>
      </c>
      <c r="K11" s="29" t="s">
        <v>88</v>
      </c>
      <c r="L11" s="29" t="s">
        <v>43</v>
      </c>
    </row>
    <row r="12" spans="1:15" ht="30">
      <c r="B12" s="29" t="s">
        <v>89</v>
      </c>
      <c r="C12" s="29" t="s">
        <v>90</v>
      </c>
      <c r="D12" s="29" t="s">
        <v>91</v>
      </c>
      <c r="E12" s="29" t="s">
        <v>92</v>
      </c>
      <c r="F12" s="29" t="s">
        <v>93</v>
      </c>
      <c r="G12" s="29">
        <v>315</v>
      </c>
      <c r="I12" s="29" t="s">
        <v>94</v>
      </c>
      <c r="J12" s="29" t="s">
        <v>95</v>
      </c>
      <c r="K12" s="29" t="s">
        <v>96</v>
      </c>
      <c r="L12" s="29" t="s">
        <v>97</v>
      </c>
    </row>
    <row r="13" spans="1:15">
      <c r="B13" s="29" t="s">
        <v>98</v>
      </c>
      <c r="C13" s="29" t="s">
        <v>99</v>
      </c>
      <c r="D13" s="29" t="s">
        <v>100</v>
      </c>
      <c r="F13" s="29" t="s">
        <v>101</v>
      </c>
      <c r="G13" s="29">
        <v>99</v>
      </c>
      <c r="I13" s="29" t="s">
        <v>102</v>
      </c>
      <c r="J13" s="29" t="s">
        <v>103</v>
      </c>
      <c r="K13" s="29" t="s">
        <v>104</v>
      </c>
      <c r="L13" s="29" t="s">
        <v>43</v>
      </c>
    </row>
    <row r="14" spans="1:15">
      <c r="B14" s="29" t="s">
        <v>105</v>
      </c>
      <c r="C14" s="29" t="s">
        <v>106</v>
      </c>
      <c r="D14" s="29" t="s">
        <v>107</v>
      </c>
      <c r="F14" s="29" t="s">
        <v>108</v>
      </c>
      <c r="G14" s="29">
        <v>88</v>
      </c>
      <c r="I14" s="29" t="s">
        <v>55</v>
      </c>
      <c r="J14" s="29" t="s">
        <v>109</v>
      </c>
      <c r="K14" s="29" t="s">
        <v>110</v>
      </c>
      <c r="L14" s="29" t="s">
        <v>43</v>
      </c>
    </row>
    <row r="15" spans="1:15" ht="30">
      <c r="B15" s="29" t="s">
        <v>111</v>
      </c>
      <c r="C15" s="29" t="s">
        <v>112</v>
      </c>
      <c r="D15" s="29" t="s">
        <v>113</v>
      </c>
      <c r="F15" s="29" t="s">
        <v>38</v>
      </c>
      <c r="I15" s="29" t="s">
        <v>40</v>
      </c>
      <c r="J15" s="29" t="s">
        <v>114</v>
      </c>
      <c r="K15" s="29" t="s">
        <v>115</v>
      </c>
      <c r="L15" s="29" t="s">
        <v>43</v>
      </c>
    </row>
    <row r="16" spans="1:15">
      <c r="B16" s="29" t="s">
        <v>116</v>
      </c>
      <c r="C16" s="29" t="s">
        <v>117</v>
      </c>
      <c r="D16" s="22" t="s">
        <v>118</v>
      </c>
      <c r="F16" s="29" t="s">
        <v>119</v>
      </c>
      <c r="G16" s="29">
        <v>36</v>
      </c>
      <c r="I16" s="29" t="s">
        <v>55</v>
      </c>
      <c r="J16" s="22" t="s">
        <v>103</v>
      </c>
      <c r="K16" s="29" t="s">
        <v>104</v>
      </c>
      <c r="L16" s="29" t="s">
        <v>43</v>
      </c>
    </row>
    <row r="17" spans="2:12">
      <c r="B17" s="29" t="s">
        <v>120</v>
      </c>
      <c r="C17" s="29" t="s">
        <v>121</v>
      </c>
      <c r="D17" s="22" t="s">
        <v>122</v>
      </c>
      <c r="F17" s="29" t="s">
        <v>38</v>
      </c>
      <c r="I17" s="29" t="s">
        <v>40</v>
      </c>
      <c r="J17" s="29" t="s">
        <v>114</v>
      </c>
      <c r="K17" s="29" t="s">
        <v>115</v>
      </c>
      <c r="L17" s="29" t="s">
        <v>43</v>
      </c>
    </row>
    <row r="18" spans="2:12">
      <c r="B18" s="29" t="s">
        <v>123</v>
      </c>
      <c r="C18" s="29" t="s">
        <v>124</v>
      </c>
      <c r="D18" s="29" t="s">
        <v>125</v>
      </c>
      <c r="F18" s="29" t="s">
        <v>126</v>
      </c>
      <c r="I18" s="29" t="s">
        <v>40</v>
      </c>
      <c r="J18" s="29" t="s">
        <v>127</v>
      </c>
      <c r="K18" s="29" t="s">
        <v>128</v>
      </c>
      <c r="L18" s="29" t="s">
        <v>43</v>
      </c>
    </row>
    <row r="19" spans="2:12">
      <c r="B19" s="29" t="s">
        <v>129</v>
      </c>
      <c r="C19" s="29" t="s">
        <v>130</v>
      </c>
      <c r="D19" s="29" t="s">
        <v>131</v>
      </c>
      <c r="F19" s="29" t="s">
        <v>132</v>
      </c>
      <c r="G19" s="29">
        <v>48</v>
      </c>
      <c r="I19" s="29" t="s">
        <v>55</v>
      </c>
      <c r="J19" s="29" t="s">
        <v>133</v>
      </c>
      <c r="K19" s="29" t="s">
        <v>134</v>
      </c>
      <c r="L19" s="29" t="s">
        <v>43</v>
      </c>
    </row>
    <row r="20" spans="2:12">
      <c r="B20" s="29" t="s">
        <v>135</v>
      </c>
      <c r="C20" s="29" t="s">
        <v>136</v>
      </c>
      <c r="D20" s="29" t="s">
        <v>137</v>
      </c>
      <c r="F20" s="29" t="s">
        <v>138</v>
      </c>
      <c r="I20" s="29" t="s">
        <v>40</v>
      </c>
      <c r="J20" s="29" t="s">
        <v>139</v>
      </c>
      <c r="K20" s="29" t="s">
        <v>140</v>
      </c>
      <c r="L20" s="29" t="s">
        <v>43</v>
      </c>
    </row>
    <row r="21" spans="2:12">
      <c r="B21" s="29" t="s">
        <v>141</v>
      </c>
      <c r="C21" s="29" t="s">
        <v>142</v>
      </c>
      <c r="F21" s="29" t="s">
        <v>143</v>
      </c>
      <c r="I21" s="29" t="s">
        <v>40</v>
      </c>
      <c r="J21" s="29" t="s">
        <v>103</v>
      </c>
      <c r="K21" s="29" t="s">
        <v>104</v>
      </c>
      <c r="L21" s="29" t="s">
        <v>43</v>
      </c>
    </row>
    <row r="22" spans="2:12">
      <c r="B22" s="29" t="s">
        <v>144</v>
      </c>
      <c r="C22" s="29" t="s">
        <v>145</v>
      </c>
      <c r="D22" s="29" t="s">
        <v>146</v>
      </c>
      <c r="F22" s="29" t="s">
        <v>147</v>
      </c>
      <c r="I22" s="29" t="s">
        <v>40</v>
      </c>
      <c r="J22" s="29" t="s">
        <v>114</v>
      </c>
      <c r="K22" s="29" t="s">
        <v>115</v>
      </c>
      <c r="L22" s="29" t="s">
        <v>43</v>
      </c>
    </row>
    <row r="23" spans="2:12">
      <c r="B23" s="29" t="s">
        <v>148</v>
      </c>
      <c r="C23" s="29" t="s">
        <v>149</v>
      </c>
      <c r="D23" s="29" t="s">
        <v>150</v>
      </c>
      <c r="F23" s="29" t="s">
        <v>151</v>
      </c>
      <c r="I23" s="29" t="s">
        <v>40</v>
      </c>
      <c r="J23" s="29" t="s">
        <v>109</v>
      </c>
      <c r="K23" s="29" t="s">
        <v>110</v>
      </c>
      <c r="L23" s="29" t="s">
        <v>43</v>
      </c>
    </row>
    <row r="24" spans="2:12">
      <c r="B24" s="29" t="s">
        <v>152</v>
      </c>
      <c r="C24" s="29" t="s">
        <v>153</v>
      </c>
      <c r="D24" s="29" t="s">
        <v>154</v>
      </c>
      <c r="F24" s="29" t="s">
        <v>155</v>
      </c>
      <c r="I24" s="29" t="s">
        <v>156</v>
      </c>
      <c r="J24" s="29" t="s">
        <v>139</v>
      </c>
      <c r="K24" s="29" t="s">
        <v>140</v>
      </c>
      <c r="L24" s="29" t="s">
        <v>43</v>
      </c>
    </row>
    <row r="25" spans="2:12">
      <c r="B25" s="29" t="s">
        <v>157</v>
      </c>
      <c r="C25" s="29" t="s">
        <v>158</v>
      </c>
      <c r="F25" s="29" t="s">
        <v>159</v>
      </c>
      <c r="I25" s="29" t="s">
        <v>40</v>
      </c>
      <c r="J25" s="29" t="s">
        <v>103</v>
      </c>
      <c r="K25" s="29" t="s">
        <v>104</v>
      </c>
      <c r="L25" s="29" t="s">
        <v>43</v>
      </c>
    </row>
    <row r="26" spans="2:12" ht="30">
      <c r="B26" s="29" t="s">
        <v>160</v>
      </c>
      <c r="C26" s="29" t="s">
        <v>161</v>
      </c>
      <c r="F26" s="29" t="s">
        <v>162</v>
      </c>
      <c r="I26" s="29" t="s">
        <v>40</v>
      </c>
      <c r="J26" s="29" t="s">
        <v>41</v>
      </c>
      <c r="K26" s="29" t="s">
        <v>42</v>
      </c>
      <c r="L26" s="29" t="s">
        <v>43</v>
      </c>
    </row>
    <row r="27" spans="2:12" ht="30">
      <c r="B27" s="29" t="s">
        <v>163</v>
      </c>
      <c r="C27" s="29" t="s">
        <v>164</v>
      </c>
      <c r="D27" s="29" t="s">
        <v>165</v>
      </c>
      <c r="F27" s="29" t="s">
        <v>166</v>
      </c>
      <c r="G27" s="29">
        <v>40</v>
      </c>
      <c r="I27" s="29" t="s">
        <v>55</v>
      </c>
      <c r="J27" s="29" t="s">
        <v>41</v>
      </c>
      <c r="K27" s="29" t="s">
        <v>42</v>
      </c>
      <c r="L27" s="29" t="s">
        <v>43</v>
      </c>
    </row>
    <row r="28" spans="2:12" ht="30">
      <c r="B28" s="29" t="s">
        <v>167</v>
      </c>
      <c r="C28" s="29" t="s">
        <v>168</v>
      </c>
      <c r="D28" s="29" t="s">
        <v>169</v>
      </c>
      <c r="F28" s="29" t="s">
        <v>170</v>
      </c>
      <c r="I28" s="29" t="s">
        <v>40</v>
      </c>
      <c r="J28" s="29" t="s">
        <v>171</v>
      </c>
      <c r="K28" s="29" t="s">
        <v>172</v>
      </c>
      <c r="L28" s="29" t="s">
        <v>43</v>
      </c>
    </row>
    <row r="29" spans="2:12" ht="30">
      <c r="B29" s="29" t="s">
        <v>173</v>
      </c>
      <c r="C29" s="29" t="s">
        <v>174</v>
      </c>
      <c r="D29" s="29" t="s">
        <v>175</v>
      </c>
      <c r="F29" s="29" t="s">
        <v>176</v>
      </c>
      <c r="I29" s="29" t="s">
        <v>40</v>
      </c>
      <c r="J29" s="29" t="s">
        <v>127</v>
      </c>
      <c r="K29" s="29" t="s">
        <v>128</v>
      </c>
      <c r="L29" s="29" t="s">
        <v>43</v>
      </c>
    </row>
    <row r="30" spans="2:12" s="30" customFormat="1">
      <c r="B30" s="30" t="s">
        <v>177</v>
      </c>
      <c r="C30" s="30" t="s">
        <v>178</v>
      </c>
      <c r="D30" s="30" t="s">
        <v>179</v>
      </c>
      <c r="F30" s="23" t="s">
        <v>180</v>
      </c>
      <c r="G30" s="30">
        <v>861</v>
      </c>
      <c r="I30" s="30" t="s">
        <v>181</v>
      </c>
      <c r="J30" s="30" t="s">
        <v>182</v>
      </c>
      <c r="K30" s="30" t="s">
        <v>183</v>
      </c>
      <c r="L30" s="30" t="s">
        <v>43</v>
      </c>
    </row>
    <row r="31" spans="2:12">
      <c r="B31" s="29" t="s">
        <v>184</v>
      </c>
      <c r="C31" s="29" t="s">
        <v>185</v>
      </c>
      <c r="F31" s="29" t="s">
        <v>186</v>
      </c>
      <c r="G31" s="29">
        <v>110</v>
      </c>
      <c r="I31" s="29" t="s">
        <v>187</v>
      </c>
      <c r="J31" s="29" t="s">
        <v>139</v>
      </c>
      <c r="K31" s="29" t="s">
        <v>140</v>
      </c>
      <c r="L31" s="29" t="s">
        <v>43</v>
      </c>
    </row>
    <row r="32" spans="2:12">
      <c r="B32" s="29" t="s">
        <v>188</v>
      </c>
      <c r="C32" s="29" t="s">
        <v>189</v>
      </c>
      <c r="D32" s="29" t="s">
        <v>190</v>
      </c>
      <c r="F32" s="29" t="s">
        <v>191</v>
      </c>
      <c r="G32" s="29">
        <v>187</v>
      </c>
      <c r="I32" s="29" t="s">
        <v>192</v>
      </c>
      <c r="J32" s="29" t="s">
        <v>114</v>
      </c>
      <c r="K32" s="29" t="s">
        <v>115</v>
      </c>
      <c r="L32" s="29" t="s">
        <v>43</v>
      </c>
    </row>
    <row r="33" spans="2:12" ht="30">
      <c r="B33" s="29" t="s">
        <v>193</v>
      </c>
      <c r="C33" s="29" t="s">
        <v>194</v>
      </c>
      <c r="F33" s="29" t="s">
        <v>195</v>
      </c>
      <c r="I33" s="29" t="s">
        <v>40</v>
      </c>
      <c r="J33" s="29" t="s">
        <v>196</v>
      </c>
      <c r="K33" s="29" t="s">
        <v>197</v>
      </c>
      <c r="L33" s="29" t="s">
        <v>43</v>
      </c>
    </row>
    <row r="34" spans="2:12">
      <c r="B34" s="29" t="s">
        <v>198</v>
      </c>
      <c r="C34" s="29" t="s">
        <v>199</v>
      </c>
      <c r="D34" s="29" t="s">
        <v>200</v>
      </c>
      <c r="F34" s="29" t="s">
        <v>201</v>
      </c>
      <c r="I34" s="29" t="s">
        <v>40</v>
      </c>
      <c r="J34" s="29" t="s">
        <v>202</v>
      </c>
      <c r="K34" s="29" t="s">
        <v>203</v>
      </c>
      <c r="L34" s="29" t="s">
        <v>43</v>
      </c>
    </row>
    <row r="35" spans="2:12">
      <c r="B35" s="29" t="s">
        <v>204</v>
      </c>
      <c r="C35" s="29" t="s">
        <v>205</v>
      </c>
      <c r="D35" s="29" t="s">
        <v>206</v>
      </c>
      <c r="F35" s="29" t="s">
        <v>207</v>
      </c>
      <c r="G35" s="29">
        <v>169</v>
      </c>
      <c r="I35" s="29" t="s">
        <v>55</v>
      </c>
      <c r="J35" s="29" t="s">
        <v>182</v>
      </c>
      <c r="K35" s="29" t="s">
        <v>183</v>
      </c>
      <c r="L35" s="29" t="s">
        <v>43</v>
      </c>
    </row>
    <row r="36" spans="2:12" ht="30">
      <c r="B36" s="29" t="s">
        <v>208</v>
      </c>
      <c r="C36" s="29" t="s">
        <v>209</v>
      </c>
      <c r="D36" s="29" t="s">
        <v>210</v>
      </c>
      <c r="F36" s="29" t="s">
        <v>211</v>
      </c>
      <c r="G36" s="29">
        <v>1448</v>
      </c>
      <c r="I36" s="29" t="s">
        <v>212</v>
      </c>
      <c r="J36" s="29" t="s">
        <v>213</v>
      </c>
      <c r="K36" s="29" t="s">
        <v>214</v>
      </c>
      <c r="L36" s="29" t="s">
        <v>43</v>
      </c>
    </row>
    <row r="37" spans="2:12">
      <c r="B37" s="29" t="s">
        <v>215</v>
      </c>
      <c r="C37" s="29" t="s">
        <v>216</v>
      </c>
      <c r="D37" s="29" t="s">
        <v>217</v>
      </c>
      <c r="F37" s="29" t="s">
        <v>218</v>
      </c>
      <c r="I37" s="29" t="s">
        <v>40</v>
      </c>
      <c r="J37" s="29" t="s">
        <v>75</v>
      </c>
      <c r="K37" s="29" t="s">
        <v>42</v>
      </c>
      <c r="L37" s="29" t="s">
        <v>43</v>
      </c>
    </row>
    <row r="38" spans="2:12">
      <c r="B38" s="29" t="s">
        <v>219</v>
      </c>
      <c r="C38" s="29" t="s">
        <v>220</v>
      </c>
      <c r="D38" s="29" t="s">
        <v>221</v>
      </c>
      <c r="F38" s="29" t="s">
        <v>222</v>
      </c>
      <c r="I38" s="29" t="s">
        <v>40</v>
      </c>
      <c r="J38" s="29" t="s">
        <v>41</v>
      </c>
      <c r="K38" s="29" t="s">
        <v>42</v>
      </c>
      <c r="L38" s="29" t="s">
        <v>43</v>
      </c>
    </row>
    <row r="39" spans="2:12" ht="30">
      <c r="B39" s="29" t="s">
        <v>223</v>
      </c>
      <c r="C39" s="29" t="s">
        <v>224</v>
      </c>
      <c r="D39" s="29" t="s">
        <v>200</v>
      </c>
      <c r="F39" s="29" t="s">
        <v>225</v>
      </c>
      <c r="I39" s="29" t="s">
        <v>40</v>
      </c>
      <c r="J39" s="29" t="s">
        <v>109</v>
      </c>
      <c r="K39" s="29" t="s">
        <v>110</v>
      </c>
      <c r="L39" s="29" t="s">
        <v>43</v>
      </c>
    </row>
    <row r="40" spans="2:12">
      <c r="B40" s="29" t="s">
        <v>226</v>
      </c>
      <c r="C40" s="29" t="s">
        <v>227</v>
      </c>
      <c r="D40" s="29" t="s">
        <v>228</v>
      </c>
      <c r="F40" s="29" t="s">
        <v>229</v>
      </c>
      <c r="G40" s="29">
        <v>213</v>
      </c>
      <c r="I40" s="29" t="s">
        <v>230</v>
      </c>
      <c r="J40" s="29" t="s">
        <v>231</v>
      </c>
      <c r="K40" s="29" t="s">
        <v>232</v>
      </c>
      <c r="L40" s="29" t="s">
        <v>43</v>
      </c>
    </row>
    <row r="41" spans="2:12">
      <c r="B41" s="29" t="s">
        <v>233</v>
      </c>
      <c r="C41" s="29" t="s">
        <v>234</v>
      </c>
      <c r="D41" s="29" t="s">
        <v>235</v>
      </c>
      <c r="F41" s="29" t="s">
        <v>236</v>
      </c>
      <c r="G41" s="29">
        <v>217</v>
      </c>
      <c r="I41" s="29" t="s">
        <v>237</v>
      </c>
      <c r="J41" s="29" t="s">
        <v>238</v>
      </c>
      <c r="K41" s="29" t="s">
        <v>128</v>
      </c>
      <c r="L41" s="29" t="s">
        <v>43</v>
      </c>
    </row>
    <row r="42" spans="2:12">
      <c r="B42" s="29" t="s">
        <v>239</v>
      </c>
      <c r="C42" s="29" t="s">
        <v>240</v>
      </c>
      <c r="D42" s="29" t="s">
        <v>241</v>
      </c>
      <c r="F42" s="29" t="s">
        <v>242</v>
      </c>
      <c r="I42" s="29" t="s">
        <v>40</v>
      </c>
      <c r="J42" s="29" t="s">
        <v>139</v>
      </c>
      <c r="K42" s="29" t="s">
        <v>140</v>
      </c>
      <c r="L42" s="29" t="s">
        <v>43</v>
      </c>
    </row>
    <row r="43" spans="2:12" ht="30">
      <c r="B43" s="29" t="s">
        <v>243</v>
      </c>
      <c r="C43" s="29" t="s">
        <v>244</v>
      </c>
      <c r="D43" s="29" t="s">
        <v>245</v>
      </c>
      <c r="F43" s="29" t="s">
        <v>246</v>
      </c>
      <c r="I43" s="29" t="s">
        <v>40</v>
      </c>
      <c r="J43" s="29" t="s">
        <v>247</v>
      </c>
      <c r="K43" s="29" t="s">
        <v>248</v>
      </c>
      <c r="L43" s="29" t="s">
        <v>43</v>
      </c>
    </row>
    <row r="44" spans="2:12">
      <c r="B44" s="29" t="s">
        <v>249</v>
      </c>
      <c r="C44" s="29" t="s">
        <v>250</v>
      </c>
      <c r="D44" s="29" t="s">
        <v>251</v>
      </c>
      <c r="F44" s="29" t="s">
        <v>252</v>
      </c>
      <c r="G44" s="29">
        <v>325</v>
      </c>
      <c r="I44" s="29" t="s">
        <v>253</v>
      </c>
      <c r="J44" s="29" t="s">
        <v>254</v>
      </c>
      <c r="K44" s="29" t="s">
        <v>172</v>
      </c>
      <c r="L44" s="29" t="s">
        <v>43</v>
      </c>
    </row>
    <row r="45" spans="2:12">
      <c r="B45" s="29" t="s">
        <v>255</v>
      </c>
      <c r="C45" s="29" t="s">
        <v>256</v>
      </c>
      <c r="F45" s="29" t="s">
        <v>257</v>
      </c>
      <c r="G45" s="29">
        <v>357</v>
      </c>
      <c r="I45" s="29" t="s">
        <v>258</v>
      </c>
      <c r="J45" s="29" t="s">
        <v>259</v>
      </c>
      <c r="K45" s="29" t="s">
        <v>260</v>
      </c>
      <c r="L45" s="29" t="s">
        <v>43</v>
      </c>
    </row>
    <row r="46" spans="2:12" ht="30">
      <c r="B46" s="29" t="s">
        <v>261</v>
      </c>
      <c r="C46" s="29" t="s">
        <v>262</v>
      </c>
      <c r="D46" s="29" t="s">
        <v>263</v>
      </c>
      <c r="F46" s="29" t="s">
        <v>264</v>
      </c>
      <c r="G46" s="29">
        <v>25</v>
      </c>
      <c r="I46" s="29" t="s">
        <v>265</v>
      </c>
      <c r="J46" s="29" t="s">
        <v>266</v>
      </c>
      <c r="K46" s="29" t="s">
        <v>267</v>
      </c>
      <c r="L46" s="29" t="s">
        <v>43</v>
      </c>
    </row>
    <row r="47" spans="2:12" ht="30">
      <c r="B47" s="29" t="s">
        <v>268</v>
      </c>
      <c r="C47" s="29" t="s">
        <v>269</v>
      </c>
      <c r="F47" s="29" t="s">
        <v>270</v>
      </c>
      <c r="I47" s="29" t="s">
        <v>40</v>
      </c>
      <c r="J47" s="29" t="s">
        <v>271</v>
      </c>
      <c r="K47" s="29" t="s">
        <v>272</v>
      </c>
      <c r="L47" s="29" t="s">
        <v>43</v>
      </c>
    </row>
    <row r="48" spans="2:12">
      <c r="B48" s="29" t="s">
        <v>273</v>
      </c>
      <c r="C48" s="29" t="s">
        <v>274</v>
      </c>
      <c r="D48" s="29" t="s">
        <v>275</v>
      </c>
      <c r="F48" s="29" t="s">
        <v>276</v>
      </c>
      <c r="G48" s="29">
        <v>136</v>
      </c>
      <c r="I48" s="29" t="s">
        <v>55</v>
      </c>
      <c r="J48" s="29" t="s">
        <v>277</v>
      </c>
      <c r="K48" s="29" t="s">
        <v>278</v>
      </c>
      <c r="L48" s="29" t="s">
        <v>43</v>
      </c>
    </row>
    <row r="49" spans="2:12" ht="30">
      <c r="B49" s="29" t="s">
        <v>279</v>
      </c>
      <c r="C49" s="29" t="s">
        <v>280</v>
      </c>
      <c r="D49" s="22" t="s">
        <v>281</v>
      </c>
      <c r="F49" s="29" t="s">
        <v>282</v>
      </c>
      <c r="G49" s="29">
        <v>40</v>
      </c>
      <c r="I49" s="29" t="s">
        <v>55</v>
      </c>
      <c r="J49" s="22" t="s">
        <v>283</v>
      </c>
      <c r="K49" s="29" t="s">
        <v>284</v>
      </c>
      <c r="L49" s="29" t="s">
        <v>43</v>
      </c>
    </row>
    <row r="50" spans="2:12">
      <c r="B50" s="29" t="s">
        <v>285</v>
      </c>
      <c r="C50" s="29" t="s">
        <v>286</v>
      </c>
      <c r="D50" s="29" t="s">
        <v>287</v>
      </c>
      <c r="F50" s="29" t="s">
        <v>288</v>
      </c>
      <c r="G50" s="29">
        <v>3</v>
      </c>
      <c r="I50" s="29" t="s">
        <v>55</v>
      </c>
      <c r="J50" s="29" t="s">
        <v>196</v>
      </c>
      <c r="K50" s="29" t="s">
        <v>289</v>
      </c>
      <c r="L50" s="29" t="s">
        <v>43</v>
      </c>
    </row>
    <row r="51" spans="2:12">
      <c r="B51" s="29" t="s">
        <v>290</v>
      </c>
      <c r="C51" s="29" t="s">
        <v>291</v>
      </c>
      <c r="D51" s="29" t="s">
        <v>292</v>
      </c>
      <c r="F51" s="29" t="s">
        <v>293</v>
      </c>
      <c r="G51" s="29">
        <v>64</v>
      </c>
      <c r="I51" s="29" t="s">
        <v>55</v>
      </c>
      <c r="J51" s="29" t="s">
        <v>41</v>
      </c>
      <c r="K51" s="29" t="s">
        <v>42</v>
      </c>
      <c r="L51" s="29" t="s">
        <v>43</v>
      </c>
    </row>
    <row r="52" spans="2:12">
      <c r="B52" s="29" t="s">
        <v>294</v>
      </c>
      <c r="C52" s="29" t="s">
        <v>295</v>
      </c>
      <c r="F52" s="29" t="s">
        <v>296</v>
      </c>
      <c r="G52" s="29">
        <v>122</v>
      </c>
      <c r="I52" s="29" t="s">
        <v>297</v>
      </c>
      <c r="J52" s="29" t="s">
        <v>127</v>
      </c>
      <c r="K52" s="29" t="s">
        <v>128</v>
      </c>
      <c r="L52" s="29" t="s">
        <v>43</v>
      </c>
    </row>
    <row r="53" spans="2:12">
      <c r="B53" s="29" t="s">
        <v>298</v>
      </c>
      <c r="C53" s="29" t="s">
        <v>299</v>
      </c>
      <c r="D53" s="29" t="s">
        <v>300</v>
      </c>
      <c r="F53" s="29" t="s">
        <v>301</v>
      </c>
      <c r="G53" s="29">
        <v>1300</v>
      </c>
      <c r="I53" s="29" t="s">
        <v>302</v>
      </c>
      <c r="J53" s="29" t="s">
        <v>303</v>
      </c>
      <c r="K53" s="29" t="s">
        <v>304</v>
      </c>
      <c r="L53" s="29" t="s">
        <v>43</v>
      </c>
    </row>
    <row r="54" spans="2:12">
      <c r="B54" s="29" t="s">
        <v>305</v>
      </c>
      <c r="C54" s="29" t="s">
        <v>306</v>
      </c>
      <c r="D54" s="29">
        <v>999598854</v>
      </c>
      <c r="F54" s="29" t="s">
        <v>307</v>
      </c>
      <c r="G54" s="29">
        <v>56</v>
      </c>
      <c r="I54" s="29" t="s">
        <v>55</v>
      </c>
      <c r="J54" s="29" t="s">
        <v>127</v>
      </c>
      <c r="K54" s="29" t="s">
        <v>128</v>
      </c>
      <c r="L54" s="29" t="s">
        <v>43</v>
      </c>
    </row>
    <row r="55" spans="2:12" s="31" customFormat="1">
      <c r="B55" s="31" t="s">
        <v>308</v>
      </c>
      <c r="C55" s="31" t="s">
        <v>309</v>
      </c>
      <c r="D55" s="31" t="s">
        <v>310</v>
      </c>
      <c r="F55" s="31" t="s">
        <v>311</v>
      </c>
      <c r="I55" s="31" t="s">
        <v>40</v>
      </c>
      <c r="J55" s="31" t="s">
        <v>283</v>
      </c>
      <c r="K55" s="31" t="s">
        <v>284</v>
      </c>
      <c r="L55" s="31" t="s">
        <v>43</v>
      </c>
    </row>
    <row r="56" spans="2:12" ht="30">
      <c r="B56" s="29" t="s">
        <v>312</v>
      </c>
      <c r="C56" s="29" t="s">
        <v>313</v>
      </c>
      <c r="D56" s="29" t="s">
        <v>314</v>
      </c>
      <c r="F56" s="29" t="s">
        <v>315</v>
      </c>
      <c r="G56" s="29">
        <v>285</v>
      </c>
      <c r="I56" s="29" t="s">
        <v>55</v>
      </c>
      <c r="J56" s="29" t="s">
        <v>271</v>
      </c>
      <c r="K56" s="29" t="s">
        <v>272</v>
      </c>
      <c r="L56" s="29" t="s">
        <v>43</v>
      </c>
    </row>
    <row r="57" spans="2:12">
      <c r="B57" s="29" t="s">
        <v>316</v>
      </c>
      <c r="C57" s="29" t="s">
        <v>317</v>
      </c>
      <c r="D57" s="29" t="s">
        <v>318</v>
      </c>
      <c r="F57" s="29" t="s">
        <v>319</v>
      </c>
      <c r="G57" s="29">
        <v>308</v>
      </c>
      <c r="I57" s="29" t="s">
        <v>55</v>
      </c>
      <c r="J57" s="29" t="s">
        <v>320</v>
      </c>
      <c r="K57" s="29" t="s">
        <v>321</v>
      </c>
      <c r="L57" s="29" t="s">
        <v>43</v>
      </c>
    </row>
    <row r="58" spans="2:12">
      <c r="B58" s="29" t="s">
        <v>322</v>
      </c>
      <c r="C58" s="29" t="s">
        <v>323</v>
      </c>
      <c r="D58" s="29" t="s">
        <v>324</v>
      </c>
      <c r="F58" s="29" t="s">
        <v>325</v>
      </c>
      <c r="G58" s="29">
        <v>1026</v>
      </c>
      <c r="I58" s="29" t="s">
        <v>326</v>
      </c>
      <c r="J58" s="29" t="s">
        <v>327</v>
      </c>
      <c r="K58" s="29" t="s">
        <v>328</v>
      </c>
      <c r="L58" s="29" t="s">
        <v>43</v>
      </c>
    </row>
    <row r="59" spans="2:12">
      <c r="B59" s="29" t="s">
        <v>329</v>
      </c>
      <c r="C59" s="29" t="s">
        <v>330</v>
      </c>
      <c r="D59" s="29" t="s">
        <v>331</v>
      </c>
      <c r="F59" s="29" t="s">
        <v>332</v>
      </c>
      <c r="G59" s="29">
        <v>186</v>
      </c>
      <c r="I59" s="29" t="s">
        <v>55</v>
      </c>
      <c r="J59" s="29" t="s">
        <v>333</v>
      </c>
      <c r="K59" s="29" t="s">
        <v>334</v>
      </c>
      <c r="L59" s="29" t="s">
        <v>43</v>
      </c>
    </row>
    <row r="60" spans="2:12">
      <c r="B60" s="29" t="s">
        <v>335</v>
      </c>
      <c r="C60" s="29" t="s">
        <v>336</v>
      </c>
      <c r="D60" s="29" t="s">
        <v>337</v>
      </c>
      <c r="F60" s="29" t="s">
        <v>338</v>
      </c>
      <c r="I60" s="29" t="s">
        <v>40</v>
      </c>
      <c r="J60" s="29" t="s">
        <v>339</v>
      </c>
      <c r="K60" s="29" t="s">
        <v>340</v>
      </c>
      <c r="L60" s="29" t="s">
        <v>43</v>
      </c>
    </row>
    <row r="61" spans="2:12">
      <c r="B61" s="29" t="s">
        <v>341</v>
      </c>
      <c r="C61" s="29" t="s">
        <v>342</v>
      </c>
      <c r="F61" s="29" t="s">
        <v>343</v>
      </c>
      <c r="I61" s="29" t="s">
        <v>40</v>
      </c>
      <c r="J61" s="29" t="s">
        <v>344</v>
      </c>
      <c r="K61" s="29" t="s">
        <v>345</v>
      </c>
      <c r="L61" s="29" t="s">
        <v>43</v>
      </c>
    </row>
    <row r="62" spans="2:12" ht="30">
      <c r="B62" s="29" t="s">
        <v>346</v>
      </c>
      <c r="C62" s="29" t="s">
        <v>347</v>
      </c>
      <c r="D62" s="26" t="s">
        <v>348</v>
      </c>
      <c r="F62" s="29" t="s">
        <v>349</v>
      </c>
      <c r="G62" s="29">
        <v>50</v>
      </c>
      <c r="I62" s="29" t="s">
        <v>350</v>
      </c>
      <c r="J62" s="29" t="s">
        <v>103</v>
      </c>
      <c r="K62" s="29" t="s">
        <v>104</v>
      </c>
      <c r="L62" s="29" t="s">
        <v>43</v>
      </c>
    </row>
    <row r="63" spans="2:12">
      <c r="B63" s="29" t="s">
        <v>351</v>
      </c>
      <c r="C63" s="29" t="s">
        <v>352</v>
      </c>
      <c r="D63" s="29" t="s">
        <v>353</v>
      </c>
      <c r="F63" s="29" t="s">
        <v>354</v>
      </c>
      <c r="I63" s="29" t="s">
        <v>40</v>
      </c>
      <c r="J63" s="29" t="s">
        <v>320</v>
      </c>
      <c r="K63" s="29" t="s">
        <v>321</v>
      </c>
      <c r="L63" s="29" t="s">
        <v>43</v>
      </c>
    </row>
    <row r="64" spans="2:12">
      <c r="B64" s="29" t="s">
        <v>355</v>
      </c>
      <c r="C64" s="29" t="s">
        <v>356</v>
      </c>
      <c r="D64" s="27" t="s">
        <v>348</v>
      </c>
      <c r="F64" s="29" t="s">
        <v>357</v>
      </c>
      <c r="G64" s="29">
        <v>183</v>
      </c>
      <c r="I64" s="29" t="s">
        <v>55</v>
      </c>
      <c r="J64" s="29" t="s">
        <v>114</v>
      </c>
      <c r="K64" s="29" t="s">
        <v>115</v>
      </c>
      <c r="L64" s="29" t="s">
        <v>43</v>
      </c>
    </row>
    <row r="65" spans="2:12">
      <c r="B65" s="29" t="s">
        <v>358</v>
      </c>
      <c r="C65" s="29" t="s">
        <v>359</v>
      </c>
      <c r="D65" s="29" t="s">
        <v>360</v>
      </c>
      <c r="F65" s="29" t="s">
        <v>361</v>
      </c>
      <c r="I65" s="29" t="s">
        <v>40</v>
      </c>
      <c r="J65" s="29" t="s">
        <v>133</v>
      </c>
      <c r="K65" s="29" t="s">
        <v>134</v>
      </c>
      <c r="L65" s="29" t="s">
        <v>43</v>
      </c>
    </row>
    <row r="66" spans="2:12" ht="30">
      <c r="B66" s="29" t="s">
        <v>362</v>
      </c>
      <c r="C66" s="29" t="s">
        <v>363</v>
      </c>
      <c r="D66" s="29" t="s">
        <v>364</v>
      </c>
      <c r="F66" s="32" t="s">
        <v>365</v>
      </c>
      <c r="I66" s="29" t="s">
        <v>40</v>
      </c>
      <c r="J66" s="29" t="s">
        <v>41</v>
      </c>
      <c r="K66" s="29" t="s">
        <v>42</v>
      </c>
      <c r="L66" s="29" t="s">
        <v>43</v>
      </c>
    </row>
    <row r="67" spans="2:12">
      <c r="B67" s="29" t="s">
        <v>366</v>
      </c>
      <c r="C67" s="29" t="s">
        <v>367</v>
      </c>
      <c r="D67" s="29" t="s">
        <v>368</v>
      </c>
      <c r="F67" s="29" t="s">
        <v>369</v>
      </c>
      <c r="G67" s="29">
        <v>144</v>
      </c>
      <c r="I67" s="29" t="s">
        <v>55</v>
      </c>
      <c r="J67" s="29" t="s">
        <v>196</v>
      </c>
      <c r="K67" s="29" t="s">
        <v>289</v>
      </c>
      <c r="L67" s="29" t="s">
        <v>43</v>
      </c>
    </row>
    <row r="68" spans="2:12">
      <c r="B68" s="29" t="s">
        <v>370</v>
      </c>
      <c r="C68" s="29" t="s">
        <v>371</v>
      </c>
      <c r="D68" s="29" t="s">
        <v>372</v>
      </c>
      <c r="F68" s="29" t="s">
        <v>373</v>
      </c>
      <c r="I68" s="29" t="s">
        <v>40</v>
      </c>
      <c r="J68" s="29" t="s">
        <v>320</v>
      </c>
      <c r="K68" s="29" t="s">
        <v>321</v>
      </c>
      <c r="L68" s="29" t="s">
        <v>43</v>
      </c>
    </row>
    <row r="69" spans="2:12">
      <c r="B69" s="29" t="s">
        <v>374</v>
      </c>
      <c r="C69" s="29" t="s">
        <v>375</v>
      </c>
      <c r="D69" s="27" t="s">
        <v>376</v>
      </c>
      <c r="F69" s="29" t="s">
        <v>377</v>
      </c>
      <c r="I69" s="29" t="s">
        <v>40</v>
      </c>
      <c r="J69" s="29" t="s">
        <v>127</v>
      </c>
      <c r="K69" s="29" t="s">
        <v>128</v>
      </c>
      <c r="L69" s="29" t="s">
        <v>43</v>
      </c>
    </row>
    <row r="70" spans="2:12" ht="30">
      <c r="B70" s="29" t="s">
        <v>378</v>
      </c>
      <c r="C70" s="29" t="s">
        <v>379</v>
      </c>
      <c r="D70" s="28" t="s">
        <v>380</v>
      </c>
      <c r="F70" s="29" t="s">
        <v>381</v>
      </c>
      <c r="G70" s="29">
        <v>43</v>
      </c>
      <c r="I70" s="29" t="s">
        <v>382</v>
      </c>
      <c r="J70" s="27" t="s">
        <v>114</v>
      </c>
      <c r="K70" s="27" t="s">
        <v>128</v>
      </c>
      <c r="L70" s="29" t="s">
        <v>43</v>
      </c>
    </row>
    <row r="71" spans="2:12">
      <c r="B71" s="29" t="s">
        <v>383</v>
      </c>
      <c r="C71" s="29" t="s">
        <v>384</v>
      </c>
      <c r="F71" s="29" t="s">
        <v>385</v>
      </c>
      <c r="G71" s="29">
        <v>1131</v>
      </c>
      <c r="I71" s="29" t="s">
        <v>55</v>
      </c>
      <c r="J71" s="29" t="s">
        <v>386</v>
      </c>
      <c r="K71" s="29" t="s">
        <v>387</v>
      </c>
      <c r="L71" s="29" t="s">
        <v>97</v>
      </c>
    </row>
    <row r="72" spans="2:12">
      <c r="B72" s="29" t="s">
        <v>388</v>
      </c>
      <c r="C72" s="29" t="s">
        <v>389</v>
      </c>
      <c r="D72" s="29" t="s">
        <v>390</v>
      </c>
      <c r="F72" s="29" t="s">
        <v>391</v>
      </c>
      <c r="I72" s="29" t="s">
        <v>40</v>
      </c>
      <c r="J72" s="29" t="s">
        <v>392</v>
      </c>
      <c r="K72" s="29" t="s">
        <v>393</v>
      </c>
      <c r="L72" s="29" t="s">
        <v>97</v>
      </c>
    </row>
    <row r="73" spans="2:12">
      <c r="B73" s="29" t="s">
        <v>394</v>
      </c>
      <c r="C73" s="29" t="s">
        <v>395</v>
      </c>
      <c r="D73" s="29" t="s">
        <v>396</v>
      </c>
      <c r="F73" s="29" t="s">
        <v>397</v>
      </c>
      <c r="G73" s="29">
        <v>475</v>
      </c>
      <c r="I73" s="29" t="s">
        <v>398</v>
      </c>
      <c r="J73" s="29" t="s">
        <v>399</v>
      </c>
      <c r="K73" s="29" t="s">
        <v>172</v>
      </c>
      <c r="L73" s="29" t="s">
        <v>43</v>
      </c>
    </row>
    <row r="74" spans="2:12">
      <c r="B74" s="29" t="s">
        <v>400</v>
      </c>
      <c r="C74" s="29" t="s">
        <v>401</v>
      </c>
      <c r="D74" s="29" t="s">
        <v>402</v>
      </c>
      <c r="F74" s="29" t="s">
        <v>403</v>
      </c>
      <c r="G74" s="29">
        <v>126</v>
      </c>
      <c r="I74" s="29" t="s">
        <v>404</v>
      </c>
      <c r="J74" s="29" t="s">
        <v>271</v>
      </c>
      <c r="K74" s="29" t="s">
        <v>272</v>
      </c>
      <c r="L74" s="29" t="s">
        <v>43</v>
      </c>
    </row>
    <row r="75" spans="2:12" ht="30">
      <c r="B75" s="29" t="s">
        <v>405</v>
      </c>
      <c r="C75" s="29" t="s">
        <v>406</v>
      </c>
      <c r="D75" s="29" t="s">
        <v>407</v>
      </c>
      <c r="F75" s="29" t="s">
        <v>408</v>
      </c>
      <c r="I75" s="29" t="s">
        <v>40</v>
      </c>
      <c r="J75" s="29" t="s">
        <v>409</v>
      </c>
      <c r="K75" s="29" t="s">
        <v>410</v>
      </c>
      <c r="L75" s="29" t="s">
        <v>43</v>
      </c>
    </row>
    <row r="76" spans="2:12" s="31" customFormat="1">
      <c r="B76" s="31" t="s">
        <v>411</v>
      </c>
      <c r="C76" s="31" t="s">
        <v>412</v>
      </c>
      <c r="F76" s="31" t="s">
        <v>413</v>
      </c>
      <c r="I76" s="31" t="s">
        <v>40</v>
      </c>
      <c r="J76" s="31" t="s">
        <v>127</v>
      </c>
      <c r="K76" s="31" t="s">
        <v>128</v>
      </c>
      <c r="L76" s="31" t="s">
        <v>43</v>
      </c>
    </row>
    <row r="77" spans="2:12" ht="30">
      <c r="B77" s="29" t="s">
        <v>414</v>
      </c>
      <c r="C77" s="29" t="s">
        <v>415</v>
      </c>
      <c r="D77" s="29" t="s">
        <v>416</v>
      </c>
      <c r="F77" s="29" t="s">
        <v>417</v>
      </c>
      <c r="G77" s="29">
        <v>591</v>
      </c>
      <c r="I77" s="29" t="s">
        <v>55</v>
      </c>
      <c r="J77" s="29" t="s">
        <v>41</v>
      </c>
      <c r="K77" s="29" t="s">
        <v>42</v>
      </c>
      <c r="L77" s="29" t="s">
        <v>43</v>
      </c>
    </row>
    <row r="78" spans="2:12">
      <c r="B78" s="29" t="s">
        <v>418</v>
      </c>
      <c r="C78" s="29" t="s">
        <v>419</v>
      </c>
      <c r="D78" s="29" t="s">
        <v>420</v>
      </c>
      <c r="F78" s="29" t="s">
        <v>421</v>
      </c>
      <c r="G78" s="29">
        <v>545</v>
      </c>
      <c r="I78" s="29" t="s">
        <v>55</v>
      </c>
      <c r="J78" s="29" t="s">
        <v>114</v>
      </c>
      <c r="K78" s="29" t="s">
        <v>115</v>
      </c>
      <c r="L78" s="29" t="s">
        <v>43</v>
      </c>
    </row>
    <row r="79" spans="2:12">
      <c r="B79" s="29" t="s">
        <v>422</v>
      </c>
      <c r="C79" s="29" t="s">
        <v>423</v>
      </c>
      <c r="D79" s="29" t="s">
        <v>424</v>
      </c>
      <c r="F79" s="29" t="s">
        <v>425</v>
      </c>
      <c r="G79" s="29">
        <v>70</v>
      </c>
      <c r="I79" s="29" t="s">
        <v>426</v>
      </c>
      <c r="J79" s="29" t="s">
        <v>266</v>
      </c>
      <c r="K79" s="29" t="s">
        <v>267</v>
      </c>
      <c r="L79" s="29" t="s">
        <v>43</v>
      </c>
    </row>
    <row r="80" spans="2:12">
      <c r="B80" s="29" t="s">
        <v>427</v>
      </c>
      <c r="C80" s="29" t="s">
        <v>428</v>
      </c>
      <c r="D80" s="29" t="s">
        <v>429</v>
      </c>
      <c r="F80" s="29" t="s">
        <v>430</v>
      </c>
      <c r="G80" s="29">
        <v>127</v>
      </c>
      <c r="I80" s="29" t="s">
        <v>55</v>
      </c>
      <c r="J80" s="29" t="s">
        <v>431</v>
      </c>
      <c r="K80" s="29" t="s">
        <v>432</v>
      </c>
      <c r="L80" s="29" t="s">
        <v>43</v>
      </c>
    </row>
    <row r="81" spans="2:12" ht="30">
      <c r="B81" s="29" t="s">
        <v>433</v>
      </c>
      <c r="C81" s="29" t="s">
        <v>434</v>
      </c>
      <c r="D81" s="29" t="s">
        <v>435</v>
      </c>
      <c r="F81" s="29" t="s">
        <v>436</v>
      </c>
      <c r="G81" s="29">
        <v>18</v>
      </c>
      <c r="I81" s="29" t="s">
        <v>40</v>
      </c>
      <c r="J81" s="29" t="s">
        <v>75</v>
      </c>
      <c r="K81" s="29" t="s">
        <v>76</v>
      </c>
      <c r="L81" s="29" t="s">
        <v>43</v>
      </c>
    </row>
    <row r="82" spans="2:12">
      <c r="B82" s="29" t="s">
        <v>437</v>
      </c>
      <c r="C82" s="29" t="s">
        <v>438</v>
      </c>
      <c r="D82" s="26" t="s">
        <v>439</v>
      </c>
      <c r="F82" s="29" t="s">
        <v>440</v>
      </c>
      <c r="I82" s="29" t="s">
        <v>40</v>
      </c>
      <c r="J82" s="29" t="s">
        <v>75</v>
      </c>
      <c r="K82" s="29" t="s">
        <v>76</v>
      </c>
      <c r="L82" s="29" t="s">
        <v>43</v>
      </c>
    </row>
    <row r="83" spans="2:12" ht="30">
      <c r="B83" s="29" t="s">
        <v>441</v>
      </c>
      <c r="C83" s="29" t="s">
        <v>442</v>
      </c>
      <c r="D83" s="29">
        <v>999318772</v>
      </c>
      <c r="F83" s="29" t="s">
        <v>443</v>
      </c>
      <c r="G83" s="29">
        <v>183</v>
      </c>
      <c r="I83" s="29" t="s">
        <v>444</v>
      </c>
      <c r="J83" s="29" t="s">
        <v>445</v>
      </c>
      <c r="K83" s="29" t="s">
        <v>446</v>
      </c>
      <c r="L83" s="29" t="s">
        <v>43</v>
      </c>
    </row>
    <row r="84" spans="2:12">
      <c r="B84" s="29" t="s">
        <v>447</v>
      </c>
      <c r="C84" s="29" t="s">
        <v>448</v>
      </c>
      <c r="D84" s="26" t="s">
        <v>449</v>
      </c>
      <c r="F84" s="29" t="s">
        <v>450</v>
      </c>
      <c r="G84" s="29">
        <v>284</v>
      </c>
      <c r="I84" s="29" t="s">
        <v>102</v>
      </c>
      <c r="J84" s="29" t="s">
        <v>103</v>
      </c>
      <c r="K84" s="29" t="s">
        <v>104</v>
      </c>
      <c r="L84" s="29" t="s">
        <v>43</v>
      </c>
    </row>
    <row r="85" spans="2:12">
      <c r="B85" s="29" t="s">
        <v>451</v>
      </c>
      <c r="C85" s="29" t="s">
        <v>452</v>
      </c>
      <c r="D85" s="26" t="s">
        <v>449</v>
      </c>
      <c r="F85" s="29" t="s">
        <v>450</v>
      </c>
      <c r="G85" s="29">
        <v>284</v>
      </c>
      <c r="I85" s="29" t="s">
        <v>102</v>
      </c>
      <c r="J85" s="29" t="s">
        <v>103</v>
      </c>
      <c r="K85" s="29" t="s">
        <v>104</v>
      </c>
      <c r="L85" s="29" t="s">
        <v>43</v>
      </c>
    </row>
    <row r="86" spans="2:12">
      <c r="B86" s="29" t="s">
        <v>453</v>
      </c>
      <c r="C86" s="29" t="s">
        <v>454</v>
      </c>
      <c r="D86" s="29" t="s">
        <v>455</v>
      </c>
      <c r="F86" s="29" t="s">
        <v>456</v>
      </c>
      <c r="G86" s="29">
        <v>65</v>
      </c>
      <c r="H86" s="29" t="s">
        <v>457</v>
      </c>
      <c r="I86" s="29" t="s">
        <v>55</v>
      </c>
      <c r="J86" s="29" t="s">
        <v>41</v>
      </c>
      <c r="K86" s="29" t="s">
        <v>42</v>
      </c>
      <c r="L86" s="29" t="s">
        <v>43</v>
      </c>
    </row>
    <row r="87" spans="2:12">
      <c r="B87" s="29" t="s">
        <v>458</v>
      </c>
      <c r="C87" s="29" t="s">
        <v>459</v>
      </c>
      <c r="D87" s="29" t="s">
        <v>460</v>
      </c>
      <c r="F87" s="29" t="s">
        <v>461</v>
      </c>
      <c r="G87" s="29">
        <v>135</v>
      </c>
      <c r="H87" s="29" t="s">
        <v>462</v>
      </c>
      <c r="I87" s="29" t="s">
        <v>463</v>
      </c>
      <c r="J87" s="29" t="s">
        <v>464</v>
      </c>
      <c r="K87" s="29" t="s">
        <v>328</v>
      </c>
      <c r="L87" s="29" t="s">
        <v>43</v>
      </c>
    </row>
    <row r="88" spans="2:12">
      <c r="B88" s="29" t="s">
        <v>465</v>
      </c>
      <c r="C88" s="29" t="s">
        <v>466</v>
      </c>
      <c r="D88" s="29" t="s">
        <v>467</v>
      </c>
      <c r="F88" s="29" t="s">
        <v>468</v>
      </c>
      <c r="I88" s="29" t="s">
        <v>40</v>
      </c>
      <c r="J88" s="29" t="s">
        <v>469</v>
      </c>
      <c r="K88" s="29" t="s">
        <v>470</v>
      </c>
      <c r="L88" s="29" t="s">
        <v>43</v>
      </c>
    </row>
    <row r="89" spans="2:12">
      <c r="B89" s="29" t="s">
        <v>471</v>
      </c>
      <c r="C89" s="29" t="s">
        <v>472</v>
      </c>
      <c r="D89" s="29" t="s">
        <v>473</v>
      </c>
      <c r="F89" s="29" t="s">
        <v>474</v>
      </c>
      <c r="I89" s="29" t="s">
        <v>40</v>
      </c>
      <c r="J89" s="29" t="s">
        <v>41</v>
      </c>
      <c r="K89" s="29" t="s">
        <v>42</v>
      </c>
      <c r="L89" s="29" t="s">
        <v>43</v>
      </c>
    </row>
    <row r="90" spans="2:12">
      <c r="B90" s="29" t="s">
        <v>475</v>
      </c>
      <c r="C90" s="29" t="s">
        <v>476</v>
      </c>
      <c r="F90" s="29" t="s">
        <v>159</v>
      </c>
      <c r="I90" s="29" t="s">
        <v>40</v>
      </c>
      <c r="J90" s="29" t="s">
        <v>103</v>
      </c>
      <c r="K90" s="29" t="s">
        <v>104</v>
      </c>
      <c r="L90" s="29" t="s">
        <v>43</v>
      </c>
    </row>
    <row r="91" spans="2:12" ht="30">
      <c r="B91" s="29" t="s">
        <v>477</v>
      </c>
      <c r="C91" s="29" t="s">
        <v>478</v>
      </c>
      <c r="F91" s="29" t="s">
        <v>479</v>
      </c>
      <c r="H91" s="29" t="s">
        <v>480</v>
      </c>
      <c r="I91" s="29" t="s">
        <v>40</v>
      </c>
      <c r="J91" s="29" t="s">
        <v>303</v>
      </c>
      <c r="K91" s="29" t="s">
        <v>304</v>
      </c>
      <c r="L91" s="29" t="s">
        <v>43</v>
      </c>
    </row>
    <row r="92" spans="2:12">
      <c r="B92" s="29" t="s">
        <v>481</v>
      </c>
      <c r="C92" s="29" t="s">
        <v>482</v>
      </c>
      <c r="D92" s="26" t="s">
        <v>483</v>
      </c>
      <c r="F92" s="26" t="s">
        <v>484</v>
      </c>
      <c r="G92" s="29">
        <v>1528</v>
      </c>
      <c r="I92" s="29" t="s">
        <v>485</v>
      </c>
      <c r="J92" s="26" t="s">
        <v>103</v>
      </c>
      <c r="K92" s="29" t="s">
        <v>104</v>
      </c>
      <c r="L92" s="29" t="s">
        <v>43</v>
      </c>
    </row>
    <row r="93" spans="2:12">
      <c r="B93" s="29" t="s">
        <v>486</v>
      </c>
      <c r="C93" s="29" t="s">
        <v>487</v>
      </c>
      <c r="D93" s="29" t="s">
        <v>488</v>
      </c>
      <c r="F93" s="29" t="s">
        <v>489</v>
      </c>
      <c r="G93" s="29">
        <v>1116</v>
      </c>
      <c r="H93" s="29" t="s">
        <v>490</v>
      </c>
      <c r="I93" s="29" t="s">
        <v>55</v>
      </c>
      <c r="J93" s="29" t="s">
        <v>491</v>
      </c>
      <c r="K93" s="29" t="s">
        <v>328</v>
      </c>
      <c r="L93" s="29" t="s">
        <v>43</v>
      </c>
    </row>
    <row r="94" spans="2:12">
      <c r="B94" s="29" t="s">
        <v>492</v>
      </c>
      <c r="C94" s="29" t="s">
        <v>493</v>
      </c>
      <c r="D94" s="29" t="s">
        <v>494</v>
      </c>
      <c r="F94" s="29" t="s">
        <v>495</v>
      </c>
      <c r="I94" s="29" t="s">
        <v>40</v>
      </c>
      <c r="J94" s="29" t="s">
        <v>496</v>
      </c>
      <c r="K94" s="29" t="s">
        <v>497</v>
      </c>
      <c r="L94" s="29" t="s">
        <v>43</v>
      </c>
    </row>
    <row r="95" spans="2:12">
      <c r="B95" s="29" t="s">
        <v>498</v>
      </c>
      <c r="C95" s="29" t="s">
        <v>499</v>
      </c>
      <c r="D95" s="26" t="s">
        <v>500</v>
      </c>
      <c r="F95" s="29" t="s">
        <v>501</v>
      </c>
      <c r="I95" s="29" t="s">
        <v>40</v>
      </c>
      <c r="J95" s="29" t="s">
        <v>114</v>
      </c>
      <c r="K95" s="29" t="s">
        <v>115</v>
      </c>
      <c r="L95" s="29" t="s">
        <v>43</v>
      </c>
    </row>
    <row r="96" spans="2:12">
      <c r="B96" s="29" t="s">
        <v>502</v>
      </c>
      <c r="C96" s="29" t="s">
        <v>503</v>
      </c>
      <c r="D96" s="22" t="s">
        <v>504</v>
      </c>
      <c r="F96" s="29" t="s">
        <v>505</v>
      </c>
      <c r="I96" s="29" t="s">
        <v>40</v>
      </c>
      <c r="J96" s="29" t="s">
        <v>49</v>
      </c>
      <c r="K96" s="29" t="s">
        <v>64</v>
      </c>
      <c r="L96" s="29" t="s">
        <v>43</v>
      </c>
    </row>
    <row r="97" spans="2:12">
      <c r="B97" s="29" t="s">
        <v>506</v>
      </c>
      <c r="C97" s="29" t="s">
        <v>507</v>
      </c>
      <c r="D97" s="22" t="s">
        <v>508</v>
      </c>
      <c r="F97" s="29" t="s">
        <v>509</v>
      </c>
      <c r="I97" s="29" t="s">
        <v>40</v>
      </c>
      <c r="J97" s="29" t="s">
        <v>41</v>
      </c>
      <c r="K97" s="29" t="s">
        <v>42</v>
      </c>
      <c r="L97" s="29" t="s">
        <v>43</v>
      </c>
    </row>
    <row r="98" spans="2:12">
      <c r="B98" s="29" t="s">
        <v>510</v>
      </c>
      <c r="C98" s="29" t="s">
        <v>511</v>
      </c>
      <c r="D98" s="22" t="s">
        <v>512</v>
      </c>
      <c r="E98" s="22" t="s">
        <v>513</v>
      </c>
      <c r="F98" s="22" t="s">
        <v>514</v>
      </c>
      <c r="G98" s="29">
        <v>733</v>
      </c>
      <c r="I98" s="29" t="s">
        <v>55</v>
      </c>
      <c r="J98" s="26" t="s">
        <v>103</v>
      </c>
      <c r="K98" s="29" t="s">
        <v>104</v>
      </c>
      <c r="L98" s="29" t="s">
        <v>43</v>
      </c>
    </row>
    <row r="99" spans="2:12">
      <c r="B99" s="29" t="s">
        <v>515</v>
      </c>
      <c r="C99" s="29" t="s">
        <v>516</v>
      </c>
      <c r="D99" s="29" t="s">
        <v>517</v>
      </c>
      <c r="F99" s="29" t="s">
        <v>421</v>
      </c>
      <c r="G99" s="29">
        <v>414</v>
      </c>
      <c r="H99" s="29" t="s">
        <v>518</v>
      </c>
      <c r="I99" s="29" t="s">
        <v>55</v>
      </c>
      <c r="J99" s="29" t="s">
        <v>114</v>
      </c>
      <c r="K99" s="29" t="s">
        <v>115</v>
      </c>
      <c r="L99" s="29" t="s">
        <v>43</v>
      </c>
    </row>
    <row r="100" spans="2:12">
      <c r="B100" s="29" t="s">
        <v>519</v>
      </c>
      <c r="C100" s="29" t="s">
        <v>520</v>
      </c>
      <c r="F100" s="29" t="s">
        <v>521</v>
      </c>
      <c r="G100" s="29">
        <v>141</v>
      </c>
      <c r="I100" s="29" t="s">
        <v>55</v>
      </c>
      <c r="J100" s="29" t="s">
        <v>103</v>
      </c>
      <c r="K100" s="29" t="s">
        <v>104</v>
      </c>
      <c r="L100" s="29" t="s">
        <v>43</v>
      </c>
    </row>
    <row r="101" spans="2:12" ht="30">
      <c r="B101" s="29" t="s">
        <v>522</v>
      </c>
      <c r="C101" s="29" t="s">
        <v>523</v>
      </c>
      <c r="F101" s="29" t="s">
        <v>524</v>
      </c>
      <c r="I101" s="29" t="s">
        <v>40</v>
      </c>
      <c r="J101" s="29" t="s">
        <v>196</v>
      </c>
      <c r="K101" s="29" t="s">
        <v>197</v>
      </c>
      <c r="L101" s="29" t="s">
        <v>43</v>
      </c>
    </row>
    <row r="102" spans="2:12" ht="30">
      <c r="B102" s="29" t="s">
        <v>525</v>
      </c>
      <c r="C102" s="29" t="s">
        <v>526</v>
      </c>
      <c r="D102" s="29" t="s">
        <v>527</v>
      </c>
      <c r="F102" s="29" t="s">
        <v>528</v>
      </c>
      <c r="I102" s="29" t="s">
        <v>40</v>
      </c>
      <c r="J102" s="29" t="s">
        <v>139</v>
      </c>
      <c r="K102" s="29" t="s">
        <v>140</v>
      </c>
      <c r="L102" s="29" t="s">
        <v>43</v>
      </c>
    </row>
    <row r="103" spans="2:12" s="31" customFormat="1">
      <c r="B103" s="31" t="s">
        <v>529</v>
      </c>
      <c r="C103" s="31" t="s">
        <v>530</v>
      </c>
      <c r="D103" s="31" t="s">
        <v>531</v>
      </c>
      <c r="E103" s="31" t="s">
        <v>532</v>
      </c>
      <c r="F103" s="31" t="s">
        <v>533</v>
      </c>
      <c r="G103" s="31">
        <v>2554</v>
      </c>
      <c r="I103" s="31" t="s">
        <v>534</v>
      </c>
      <c r="J103" s="31" t="s">
        <v>535</v>
      </c>
      <c r="K103" s="31" t="s">
        <v>536</v>
      </c>
      <c r="L103" s="31" t="s">
        <v>97</v>
      </c>
    </row>
    <row r="104" spans="2:12">
      <c r="B104" s="29" t="s">
        <v>537</v>
      </c>
      <c r="C104" s="29" t="s">
        <v>538</v>
      </c>
      <c r="D104" s="29" t="s">
        <v>539</v>
      </c>
      <c r="F104" s="29" t="s">
        <v>540</v>
      </c>
      <c r="I104" s="29" t="s">
        <v>40</v>
      </c>
      <c r="J104" s="29" t="s">
        <v>133</v>
      </c>
      <c r="K104" s="29" t="s">
        <v>134</v>
      </c>
      <c r="L104" s="29" t="s">
        <v>43</v>
      </c>
    </row>
    <row r="105" spans="2:12" ht="30">
      <c r="B105" s="29" t="s">
        <v>541</v>
      </c>
      <c r="C105" s="29" t="s">
        <v>542</v>
      </c>
      <c r="D105" s="29" t="s">
        <v>543</v>
      </c>
      <c r="F105" s="29" t="s">
        <v>544</v>
      </c>
      <c r="G105" s="29">
        <v>63</v>
      </c>
      <c r="I105" s="29" t="s">
        <v>192</v>
      </c>
      <c r="J105" s="29" t="s">
        <v>114</v>
      </c>
      <c r="K105" s="29" t="s">
        <v>115</v>
      </c>
      <c r="L105" s="29" t="s">
        <v>43</v>
      </c>
    </row>
    <row r="106" spans="2:12" ht="30">
      <c r="B106" s="29" t="s">
        <v>545</v>
      </c>
      <c r="C106" s="29" t="s">
        <v>546</v>
      </c>
      <c r="D106" s="29" t="s">
        <v>547</v>
      </c>
      <c r="F106" s="29" t="s">
        <v>548</v>
      </c>
      <c r="I106" s="29" t="s">
        <v>40</v>
      </c>
      <c r="J106" s="29" t="s">
        <v>445</v>
      </c>
      <c r="K106" s="29" t="s">
        <v>446</v>
      </c>
      <c r="L106" s="29" t="s">
        <v>43</v>
      </c>
    </row>
    <row r="107" spans="2:12">
      <c r="B107" s="29" t="s">
        <v>549</v>
      </c>
      <c r="C107" s="29" t="s">
        <v>550</v>
      </c>
      <c r="D107" s="29" t="s">
        <v>551</v>
      </c>
      <c r="F107" s="29" t="s">
        <v>552</v>
      </c>
      <c r="G107" s="29">
        <v>3</v>
      </c>
      <c r="I107" s="29" t="s">
        <v>55</v>
      </c>
      <c r="J107" s="29" t="s">
        <v>196</v>
      </c>
      <c r="K107" s="29" t="s">
        <v>289</v>
      </c>
      <c r="L107" s="29" t="s">
        <v>43</v>
      </c>
    </row>
    <row r="108" spans="2:12" s="31" customFormat="1">
      <c r="B108" s="31" t="s">
        <v>553</v>
      </c>
      <c r="C108" s="31" t="s">
        <v>554</v>
      </c>
      <c r="F108" s="31" t="s">
        <v>555</v>
      </c>
      <c r="G108" s="31">
        <v>462</v>
      </c>
      <c r="I108" s="31" t="s">
        <v>556</v>
      </c>
      <c r="J108" s="31" t="s">
        <v>41</v>
      </c>
      <c r="K108" s="31" t="s">
        <v>42</v>
      </c>
      <c r="L108" s="31" t="s">
        <v>43</v>
      </c>
    </row>
    <row r="109" spans="2:12">
      <c r="B109" s="29" t="s">
        <v>557</v>
      </c>
      <c r="C109" s="29" t="s">
        <v>558</v>
      </c>
      <c r="D109" s="29" t="s">
        <v>559</v>
      </c>
      <c r="F109" s="29" t="s">
        <v>560</v>
      </c>
      <c r="G109" s="29">
        <v>200</v>
      </c>
      <c r="I109" s="29" t="s">
        <v>561</v>
      </c>
      <c r="J109" s="29" t="s">
        <v>562</v>
      </c>
      <c r="K109" s="29" t="s">
        <v>563</v>
      </c>
      <c r="L109" s="29" t="s">
        <v>43</v>
      </c>
    </row>
    <row r="110" spans="2:12">
      <c r="B110" s="29" t="s">
        <v>564</v>
      </c>
      <c r="C110" s="29" t="s">
        <v>565</v>
      </c>
      <c r="D110" s="29" t="s">
        <v>566</v>
      </c>
      <c r="F110" s="29" t="s">
        <v>567</v>
      </c>
      <c r="G110" s="29">
        <v>426</v>
      </c>
      <c r="H110" s="29" t="s">
        <v>568</v>
      </c>
      <c r="I110" s="29" t="s">
        <v>55</v>
      </c>
      <c r="J110" s="29" t="s">
        <v>491</v>
      </c>
      <c r="K110" s="29" t="s">
        <v>328</v>
      </c>
      <c r="L110" s="29" t="s">
        <v>43</v>
      </c>
    </row>
    <row r="111" spans="2:12">
      <c r="B111" s="29" t="s">
        <v>569</v>
      </c>
      <c r="C111" s="29" t="s">
        <v>570</v>
      </c>
      <c r="D111" s="29" t="s">
        <v>571</v>
      </c>
      <c r="F111" s="29" t="s">
        <v>572</v>
      </c>
      <c r="I111" s="29" t="s">
        <v>40</v>
      </c>
      <c r="J111" s="29" t="s">
        <v>41</v>
      </c>
      <c r="K111" s="29" t="s">
        <v>42</v>
      </c>
      <c r="L111" s="29" t="s">
        <v>43</v>
      </c>
    </row>
    <row r="112" spans="2:12" ht="30">
      <c r="B112" s="29" t="s">
        <v>573</v>
      </c>
      <c r="C112" s="29" t="s">
        <v>574</v>
      </c>
      <c r="D112" s="29" t="s">
        <v>575</v>
      </c>
      <c r="F112" s="29" t="s">
        <v>576</v>
      </c>
      <c r="I112" s="29" t="s">
        <v>40</v>
      </c>
      <c r="J112" s="29" t="s">
        <v>41</v>
      </c>
      <c r="K112" s="29" t="s">
        <v>42</v>
      </c>
      <c r="L112" s="29" t="s">
        <v>43</v>
      </c>
    </row>
    <row r="113" spans="2:12">
      <c r="B113" s="29" t="s">
        <v>577</v>
      </c>
      <c r="C113" s="29" t="s">
        <v>578</v>
      </c>
      <c r="D113" s="29" t="s">
        <v>579</v>
      </c>
      <c r="F113" s="29" t="s">
        <v>580</v>
      </c>
      <c r="I113" s="29" t="s">
        <v>40</v>
      </c>
      <c r="J113" s="29" t="s">
        <v>103</v>
      </c>
      <c r="K113" s="29" t="s">
        <v>104</v>
      </c>
      <c r="L113" s="29" t="s">
        <v>43</v>
      </c>
    </row>
    <row r="114" spans="2:12" ht="30">
      <c r="B114" s="29" t="s">
        <v>581</v>
      </c>
      <c r="C114" s="29" t="s">
        <v>582</v>
      </c>
      <c r="D114" s="29" t="s">
        <v>583</v>
      </c>
      <c r="F114" s="29" t="s">
        <v>567</v>
      </c>
      <c r="G114" s="29">
        <v>1305</v>
      </c>
      <c r="I114" s="29" t="s">
        <v>55</v>
      </c>
      <c r="J114" s="29" t="s">
        <v>584</v>
      </c>
      <c r="K114" s="29" t="s">
        <v>328</v>
      </c>
      <c r="L114" s="29" t="s">
        <v>43</v>
      </c>
    </row>
    <row r="115" spans="2:12">
      <c r="B115" s="29" t="s">
        <v>585</v>
      </c>
      <c r="C115" s="29" t="s">
        <v>586</v>
      </c>
      <c r="D115" s="29" t="s">
        <v>587</v>
      </c>
      <c r="F115" s="29" t="s">
        <v>588</v>
      </c>
      <c r="G115" s="29">
        <v>170</v>
      </c>
      <c r="I115" s="29" t="s">
        <v>589</v>
      </c>
      <c r="J115" s="29" t="s">
        <v>320</v>
      </c>
      <c r="K115" s="29" t="s">
        <v>321</v>
      </c>
      <c r="L115" s="29" t="s">
        <v>43</v>
      </c>
    </row>
    <row r="116" spans="2:12">
      <c r="B116" s="29" t="s">
        <v>590</v>
      </c>
      <c r="C116" s="29" t="s">
        <v>591</v>
      </c>
      <c r="D116" s="29" t="s">
        <v>592</v>
      </c>
      <c r="F116" s="29" t="s">
        <v>593</v>
      </c>
      <c r="G116" s="29">
        <v>17</v>
      </c>
      <c r="I116" s="29" t="s">
        <v>594</v>
      </c>
      <c r="J116" s="29" t="s">
        <v>139</v>
      </c>
      <c r="K116" s="29" t="s">
        <v>140</v>
      </c>
      <c r="L116" s="29" t="s">
        <v>43</v>
      </c>
    </row>
    <row r="117" spans="2:12">
      <c r="B117" s="29" t="s">
        <v>595</v>
      </c>
      <c r="C117" s="29" t="s">
        <v>596</v>
      </c>
      <c r="D117" s="29" t="s">
        <v>597</v>
      </c>
      <c r="F117" s="29" t="s">
        <v>598</v>
      </c>
      <c r="G117" s="29">
        <v>296</v>
      </c>
      <c r="I117" s="29" t="s">
        <v>55</v>
      </c>
      <c r="J117" s="29" t="s">
        <v>127</v>
      </c>
      <c r="K117" s="29" t="s">
        <v>128</v>
      </c>
      <c r="L117" s="29" t="s">
        <v>43</v>
      </c>
    </row>
    <row r="118" spans="2:12">
      <c r="B118" s="29" t="s">
        <v>599</v>
      </c>
      <c r="C118" s="29" t="s">
        <v>600</v>
      </c>
      <c r="D118" s="29" t="s">
        <v>601</v>
      </c>
      <c r="F118" s="29" t="s">
        <v>602</v>
      </c>
      <c r="G118" s="29">
        <v>46</v>
      </c>
      <c r="I118" s="29" t="s">
        <v>603</v>
      </c>
      <c r="J118" s="29" t="s">
        <v>320</v>
      </c>
      <c r="K118" s="29" t="s">
        <v>321</v>
      </c>
      <c r="L118" s="29" t="s">
        <v>43</v>
      </c>
    </row>
    <row r="119" spans="2:12" ht="30">
      <c r="B119" s="29" t="s">
        <v>604</v>
      </c>
      <c r="C119" s="29" t="s">
        <v>605</v>
      </c>
      <c r="D119" s="29" t="s">
        <v>606</v>
      </c>
      <c r="F119" s="29" t="s">
        <v>607</v>
      </c>
      <c r="I119" s="29" t="s">
        <v>40</v>
      </c>
      <c r="J119" s="29" t="s">
        <v>127</v>
      </c>
      <c r="K119" s="29" t="s">
        <v>128</v>
      </c>
      <c r="L119" s="29" t="s">
        <v>43</v>
      </c>
    </row>
    <row r="120" spans="2:12" ht="30">
      <c r="B120" s="29" t="s">
        <v>608</v>
      </c>
      <c r="C120" s="29" t="s">
        <v>609</v>
      </c>
      <c r="D120" s="29" t="s">
        <v>610</v>
      </c>
      <c r="F120" s="29" t="s">
        <v>611</v>
      </c>
      <c r="G120" s="29">
        <v>1150</v>
      </c>
      <c r="I120" s="29" t="s">
        <v>55</v>
      </c>
      <c r="J120" s="29" t="s">
        <v>41</v>
      </c>
      <c r="K120" s="29" t="s">
        <v>42</v>
      </c>
      <c r="L120" s="29" t="s">
        <v>43</v>
      </c>
    </row>
    <row r="121" spans="2:12">
      <c r="B121" s="29" t="s">
        <v>612</v>
      </c>
      <c r="C121" s="29" t="s">
        <v>613</v>
      </c>
      <c r="D121" s="29" t="s">
        <v>614</v>
      </c>
      <c r="F121" s="29" t="s">
        <v>615</v>
      </c>
      <c r="G121" s="29">
        <v>71</v>
      </c>
      <c r="I121" s="29" t="s">
        <v>55</v>
      </c>
      <c r="J121" s="29" t="s">
        <v>133</v>
      </c>
      <c r="K121" s="29" t="s">
        <v>134</v>
      </c>
      <c r="L121" s="29" t="s">
        <v>43</v>
      </c>
    </row>
    <row r="122" spans="2:12">
      <c r="B122" s="29" t="s">
        <v>616</v>
      </c>
      <c r="C122" s="29" t="s">
        <v>617</v>
      </c>
      <c r="D122" s="29" t="s">
        <v>618</v>
      </c>
      <c r="F122" s="29" t="s">
        <v>619</v>
      </c>
      <c r="G122" s="29">
        <v>53</v>
      </c>
      <c r="I122" s="29" t="s">
        <v>55</v>
      </c>
      <c r="J122" s="29" t="s">
        <v>620</v>
      </c>
      <c r="K122" s="29" t="s">
        <v>621</v>
      </c>
      <c r="L122" s="29" t="s">
        <v>43</v>
      </c>
    </row>
    <row r="123" spans="2:12">
      <c r="B123" s="29" t="s">
        <v>622</v>
      </c>
      <c r="C123" s="29" t="s">
        <v>623</v>
      </c>
      <c r="D123" s="29" t="s">
        <v>624</v>
      </c>
      <c r="F123" s="29" t="s">
        <v>625</v>
      </c>
      <c r="G123" s="29">
        <v>344</v>
      </c>
      <c r="I123" s="29" t="s">
        <v>55</v>
      </c>
      <c r="J123" s="29" t="s">
        <v>114</v>
      </c>
      <c r="K123" s="29" t="s">
        <v>115</v>
      </c>
      <c r="L123" s="29" t="s">
        <v>43</v>
      </c>
    </row>
    <row r="124" spans="2:12" ht="30">
      <c r="B124" s="29" t="s">
        <v>626</v>
      </c>
      <c r="C124" s="29" t="s">
        <v>627</v>
      </c>
      <c r="D124" s="29" t="s">
        <v>628</v>
      </c>
      <c r="F124" s="29" t="s">
        <v>629</v>
      </c>
      <c r="I124" s="29" t="s">
        <v>40</v>
      </c>
      <c r="J124" s="29" t="s">
        <v>630</v>
      </c>
      <c r="K124" s="29" t="s">
        <v>631</v>
      </c>
      <c r="L124" s="29" t="s">
        <v>43</v>
      </c>
    </row>
    <row r="125" spans="2:12" ht="30">
      <c r="B125" s="29" t="s">
        <v>632</v>
      </c>
      <c r="C125" s="29" t="s">
        <v>633</v>
      </c>
      <c r="D125" s="29" t="s">
        <v>634</v>
      </c>
      <c r="F125" s="29" t="s">
        <v>635</v>
      </c>
      <c r="G125" s="29" t="s">
        <v>636</v>
      </c>
      <c r="I125" s="29" t="s">
        <v>637</v>
      </c>
      <c r="J125" s="29" t="s">
        <v>638</v>
      </c>
      <c r="K125" s="29" t="s">
        <v>589</v>
      </c>
      <c r="L125" s="29" t="s">
        <v>43</v>
      </c>
    </row>
    <row r="126" spans="2:12" ht="30">
      <c r="B126" s="29" t="s">
        <v>639</v>
      </c>
      <c r="C126" s="29" t="s">
        <v>640</v>
      </c>
      <c r="D126" s="29" t="s">
        <v>641</v>
      </c>
      <c r="F126" s="29" t="s">
        <v>642</v>
      </c>
      <c r="G126" s="29">
        <v>169</v>
      </c>
      <c r="J126" s="29" t="s">
        <v>643</v>
      </c>
      <c r="K126" s="29" t="s">
        <v>644</v>
      </c>
      <c r="L126" s="29" t="s">
        <v>43</v>
      </c>
    </row>
    <row r="127" spans="2:12">
      <c r="B127" s="29" t="s">
        <v>645</v>
      </c>
      <c r="C127" s="29" t="s">
        <v>646</v>
      </c>
      <c r="D127" s="29" t="s">
        <v>647</v>
      </c>
      <c r="F127" s="29" t="s">
        <v>648</v>
      </c>
      <c r="I127" s="29" t="s">
        <v>40</v>
      </c>
      <c r="J127" s="29" t="s">
        <v>127</v>
      </c>
      <c r="K127" s="29" t="s">
        <v>128</v>
      </c>
      <c r="L127" s="29" t="s">
        <v>43</v>
      </c>
    </row>
    <row r="128" spans="2:12">
      <c r="B128" s="29" t="s">
        <v>649</v>
      </c>
      <c r="C128" s="29" t="s">
        <v>650</v>
      </c>
      <c r="D128" s="29" t="s">
        <v>651</v>
      </c>
      <c r="F128" s="29" t="s">
        <v>652</v>
      </c>
      <c r="G128" s="29">
        <v>340</v>
      </c>
      <c r="I128" s="29" t="s">
        <v>653</v>
      </c>
      <c r="J128" s="33">
        <v>35570650</v>
      </c>
      <c r="K128" s="29" t="s">
        <v>128</v>
      </c>
      <c r="L128" s="29" t="s">
        <v>43</v>
      </c>
    </row>
    <row r="129" spans="2:12">
      <c r="B129" s="29" t="s">
        <v>654</v>
      </c>
      <c r="C129" s="29" t="s">
        <v>655</v>
      </c>
      <c r="D129" s="29" t="s">
        <v>656</v>
      </c>
      <c r="F129" s="29" t="s">
        <v>657</v>
      </c>
      <c r="G129" s="29">
        <v>338</v>
      </c>
      <c r="I129" s="29" t="s">
        <v>55</v>
      </c>
      <c r="J129" s="29" t="s">
        <v>139</v>
      </c>
      <c r="K129" s="29" t="s">
        <v>140</v>
      </c>
      <c r="L129" s="29" t="s">
        <v>43</v>
      </c>
    </row>
    <row r="130" spans="2:12">
      <c r="B130" s="29" t="s">
        <v>658</v>
      </c>
      <c r="C130" s="29" t="s">
        <v>659</v>
      </c>
      <c r="D130" s="29" t="s">
        <v>660</v>
      </c>
      <c r="F130" s="29" t="s">
        <v>661</v>
      </c>
      <c r="I130" s="29" t="s">
        <v>40</v>
      </c>
      <c r="J130" s="29" t="s">
        <v>114</v>
      </c>
      <c r="K130" s="29" t="s">
        <v>115</v>
      </c>
      <c r="L130" s="29" t="s">
        <v>43</v>
      </c>
    </row>
    <row r="131" spans="2:12">
      <c r="B131" s="29" t="s">
        <v>662</v>
      </c>
      <c r="C131" s="29" t="s">
        <v>663</v>
      </c>
      <c r="D131" s="29" t="s">
        <v>664</v>
      </c>
      <c r="F131" s="29" t="s">
        <v>665</v>
      </c>
      <c r="G131" s="29">
        <v>75</v>
      </c>
      <c r="I131" s="29" t="s">
        <v>55</v>
      </c>
      <c r="J131" s="29" t="s">
        <v>41</v>
      </c>
      <c r="K131" s="29" t="s">
        <v>42</v>
      </c>
      <c r="L131" s="29" t="s">
        <v>43</v>
      </c>
    </row>
    <row r="132" spans="2:12" ht="30">
      <c r="B132" s="29" t="s">
        <v>666</v>
      </c>
      <c r="C132" s="29" t="s">
        <v>667</v>
      </c>
      <c r="D132" s="29" t="s">
        <v>668</v>
      </c>
      <c r="F132" s="29" t="s">
        <v>669</v>
      </c>
      <c r="I132" s="29" t="s">
        <v>40</v>
      </c>
      <c r="J132" s="29" t="s">
        <v>182</v>
      </c>
      <c r="K132" s="29" t="s">
        <v>183</v>
      </c>
      <c r="L132" s="29" t="s">
        <v>43</v>
      </c>
    </row>
    <row r="133" spans="2:12">
      <c r="B133" s="29" t="s">
        <v>670</v>
      </c>
      <c r="C133" s="29" t="s">
        <v>671</v>
      </c>
      <c r="D133" s="29" t="s">
        <v>672</v>
      </c>
      <c r="F133" s="29" t="s">
        <v>673</v>
      </c>
      <c r="I133" s="29" t="s">
        <v>40</v>
      </c>
      <c r="J133" s="29" t="s">
        <v>127</v>
      </c>
      <c r="K133" s="29" t="s">
        <v>128</v>
      </c>
      <c r="L133" s="29" t="s">
        <v>43</v>
      </c>
    </row>
    <row r="134" spans="2:12" ht="30">
      <c r="B134" s="29" t="s">
        <v>674</v>
      </c>
      <c r="C134" s="29" t="s">
        <v>675</v>
      </c>
      <c r="D134" s="29" t="s">
        <v>676</v>
      </c>
      <c r="F134" s="29" t="s">
        <v>677</v>
      </c>
      <c r="G134" s="29">
        <v>197</v>
      </c>
      <c r="I134" s="29" t="s">
        <v>678</v>
      </c>
      <c r="J134" s="29" t="s">
        <v>679</v>
      </c>
      <c r="K134" s="29" t="s">
        <v>128</v>
      </c>
      <c r="L134" s="29" t="s">
        <v>43</v>
      </c>
    </row>
    <row r="135" spans="2:12">
      <c r="B135" s="29" t="s">
        <v>680</v>
      </c>
      <c r="C135" s="29" t="s">
        <v>681</v>
      </c>
      <c r="D135" s="29" t="s">
        <v>682</v>
      </c>
      <c r="F135" s="29" t="s">
        <v>683</v>
      </c>
      <c r="I135" s="29" t="s">
        <v>40</v>
      </c>
      <c r="J135" s="29" t="s">
        <v>127</v>
      </c>
      <c r="K135" s="29" t="s">
        <v>128</v>
      </c>
      <c r="L135" s="29" t="s">
        <v>43</v>
      </c>
    </row>
    <row r="136" spans="2:12">
      <c r="B136" s="29" t="s">
        <v>684</v>
      </c>
      <c r="C136" s="29" t="s">
        <v>685</v>
      </c>
      <c r="D136" s="22" t="s">
        <v>686</v>
      </c>
      <c r="F136" s="29" t="s">
        <v>687</v>
      </c>
      <c r="G136" s="29">
        <v>49</v>
      </c>
      <c r="J136" s="29" t="s">
        <v>688</v>
      </c>
      <c r="K136" s="29" t="s">
        <v>304</v>
      </c>
      <c r="L136" s="29" t="s">
        <v>43</v>
      </c>
    </row>
    <row r="137" spans="2:12">
      <c r="B137" s="29" t="s">
        <v>689</v>
      </c>
      <c r="C137" s="29" t="s">
        <v>690</v>
      </c>
      <c r="D137" s="29" t="s">
        <v>691</v>
      </c>
      <c r="F137" s="29" t="s">
        <v>692</v>
      </c>
      <c r="I137" s="29" t="s">
        <v>40</v>
      </c>
      <c r="J137" s="29" t="s">
        <v>114</v>
      </c>
      <c r="K137" s="29" t="s">
        <v>115</v>
      </c>
      <c r="L137" s="29" t="s">
        <v>43</v>
      </c>
    </row>
    <row r="138" spans="2:12" s="31" customFormat="1" ht="30">
      <c r="B138" s="31" t="s">
        <v>693</v>
      </c>
      <c r="C138" s="31" t="s">
        <v>694</v>
      </c>
      <c r="D138" s="31" t="s">
        <v>695</v>
      </c>
      <c r="F138" s="31" t="s">
        <v>696</v>
      </c>
      <c r="I138" s="31" t="s">
        <v>40</v>
      </c>
      <c r="J138" s="31" t="s">
        <v>182</v>
      </c>
      <c r="K138" s="31" t="s">
        <v>183</v>
      </c>
      <c r="L138" s="31" t="s">
        <v>43</v>
      </c>
    </row>
    <row r="139" spans="2:12" ht="30">
      <c r="B139" s="29" t="s">
        <v>697</v>
      </c>
      <c r="C139" s="29" t="s">
        <v>698</v>
      </c>
      <c r="D139" s="29" t="s">
        <v>699</v>
      </c>
      <c r="F139" s="29" t="s">
        <v>700</v>
      </c>
      <c r="G139" s="29">
        <v>221</v>
      </c>
      <c r="I139" s="29" t="s">
        <v>701</v>
      </c>
      <c r="J139" s="29" t="s">
        <v>702</v>
      </c>
      <c r="K139" s="29" t="s">
        <v>128</v>
      </c>
      <c r="L139" s="29" t="s">
        <v>43</v>
      </c>
    </row>
    <row r="140" spans="2:12">
      <c r="B140" s="29" t="s">
        <v>703</v>
      </c>
      <c r="C140" s="29" t="s">
        <v>704</v>
      </c>
      <c r="D140" s="31" t="s">
        <v>695</v>
      </c>
      <c r="F140" s="29" t="s">
        <v>705</v>
      </c>
      <c r="I140" s="29" t="s">
        <v>40</v>
      </c>
      <c r="J140" s="29" t="s">
        <v>182</v>
      </c>
      <c r="K140" s="29" t="s">
        <v>183</v>
      </c>
      <c r="L140" s="29" t="s">
        <v>43</v>
      </c>
    </row>
    <row r="141" spans="2:12">
      <c r="B141" s="29" t="s">
        <v>706</v>
      </c>
      <c r="C141" s="29" t="s">
        <v>707</v>
      </c>
      <c r="D141" s="29" t="s">
        <v>708</v>
      </c>
      <c r="F141" s="29" t="s">
        <v>709</v>
      </c>
      <c r="G141" s="29">
        <v>474</v>
      </c>
      <c r="I141" s="29" t="s">
        <v>55</v>
      </c>
      <c r="J141" s="29" t="s">
        <v>182</v>
      </c>
      <c r="K141" s="29" t="s">
        <v>183</v>
      </c>
      <c r="L141" s="29" t="s">
        <v>43</v>
      </c>
    </row>
    <row r="142" spans="2:12">
      <c r="B142" s="29" t="s">
        <v>710</v>
      </c>
      <c r="C142" s="29" t="s">
        <v>711</v>
      </c>
      <c r="D142" s="29" t="s">
        <v>712</v>
      </c>
      <c r="F142" s="29" t="s">
        <v>625</v>
      </c>
      <c r="G142" s="29">
        <v>403</v>
      </c>
      <c r="I142" s="29" t="s">
        <v>55</v>
      </c>
      <c r="J142" s="29" t="s">
        <v>114</v>
      </c>
      <c r="K142" s="29" t="s">
        <v>115</v>
      </c>
      <c r="L142" s="29" t="s">
        <v>43</v>
      </c>
    </row>
    <row r="143" spans="2:12">
      <c r="B143" s="29" t="s">
        <v>713</v>
      </c>
      <c r="C143" s="29" t="s">
        <v>714</v>
      </c>
      <c r="D143" s="29" t="s">
        <v>715</v>
      </c>
      <c r="F143" s="29" t="s">
        <v>716</v>
      </c>
      <c r="I143" s="29" t="s">
        <v>40</v>
      </c>
      <c r="J143" s="29" t="s">
        <v>41</v>
      </c>
      <c r="K143" s="29" t="s">
        <v>42</v>
      </c>
      <c r="L143" s="29" t="s">
        <v>43</v>
      </c>
    </row>
    <row r="144" spans="2:12" ht="30">
      <c r="B144" s="29" t="s">
        <v>717</v>
      </c>
      <c r="C144" s="29" t="s">
        <v>718</v>
      </c>
      <c r="F144" s="29" t="s">
        <v>719</v>
      </c>
      <c r="I144" s="29" t="s">
        <v>480</v>
      </c>
      <c r="J144" s="29" t="s">
        <v>303</v>
      </c>
      <c r="K144" s="29" t="s">
        <v>304</v>
      </c>
      <c r="L144" s="29" t="s">
        <v>43</v>
      </c>
    </row>
    <row r="145" spans="2:12">
      <c r="B145" s="29" t="s">
        <v>720</v>
      </c>
      <c r="C145" s="29" t="s">
        <v>721</v>
      </c>
      <c r="D145" s="29" t="s">
        <v>722</v>
      </c>
      <c r="F145" s="29" t="s">
        <v>723</v>
      </c>
      <c r="I145" s="29" t="s">
        <v>40</v>
      </c>
      <c r="J145" s="29" t="s">
        <v>724</v>
      </c>
      <c r="K145" s="29" t="s">
        <v>725</v>
      </c>
      <c r="L145" s="29" t="s">
        <v>43</v>
      </c>
    </row>
    <row r="146" spans="2:12">
      <c r="B146" s="29" t="s">
        <v>726</v>
      </c>
      <c r="C146" s="29" t="s">
        <v>727</v>
      </c>
      <c r="D146" s="29" t="s">
        <v>728</v>
      </c>
      <c r="F146" s="29" t="s">
        <v>729</v>
      </c>
      <c r="G146" s="29">
        <v>377</v>
      </c>
      <c r="I146" s="29" t="s">
        <v>730</v>
      </c>
      <c r="J146" s="29" t="s">
        <v>139</v>
      </c>
      <c r="K146" s="29" t="s">
        <v>140</v>
      </c>
      <c r="L146" s="29" t="s">
        <v>43</v>
      </c>
    </row>
    <row r="147" spans="2:12">
      <c r="B147" s="29" t="s">
        <v>731</v>
      </c>
      <c r="C147" s="29" t="s">
        <v>732</v>
      </c>
      <c r="D147" s="29" t="s">
        <v>85</v>
      </c>
      <c r="F147" s="29" t="s">
        <v>733</v>
      </c>
      <c r="G147" s="29">
        <v>13</v>
      </c>
      <c r="I147" s="29" t="s">
        <v>733</v>
      </c>
      <c r="J147" s="29" t="s">
        <v>87</v>
      </c>
      <c r="K147" s="29" t="s">
        <v>88</v>
      </c>
      <c r="L147" s="29" t="s">
        <v>43</v>
      </c>
    </row>
    <row r="148" spans="2:12" ht="30">
      <c r="B148" s="29" t="s">
        <v>734</v>
      </c>
      <c r="C148" s="29" t="s">
        <v>735</v>
      </c>
      <c r="D148" s="29" t="s">
        <v>736</v>
      </c>
      <c r="F148" s="29" t="s">
        <v>737</v>
      </c>
      <c r="I148" s="29" t="s">
        <v>40</v>
      </c>
      <c r="J148" s="29" t="s">
        <v>738</v>
      </c>
      <c r="K148" s="29" t="s">
        <v>82</v>
      </c>
      <c r="L148" s="29" t="s">
        <v>43</v>
      </c>
    </row>
    <row r="149" spans="2:12">
      <c r="B149" s="29" t="s">
        <v>739</v>
      </c>
      <c r="C149" s="29" t="s">
        <v>740</v>
      </c>
      <c r="D149" s="29" t="s">
        <v>741</v>
      </c>
      <c r="F149" s="29" t="s">
        <v>742</v>
      </c>
      <c r="G149" s="29">
        <v>558</v>
      </c>
      <c r="I149" s="29" t="s">
        <v>55</v>
      </c>
      <c r="J149" s="29" t="s">
        <v>127</v>
      </c>
      <c r="K149" s="29" t="s">
        <v>128</v>
      </c>
      <c r="L149" s="29" t="s">
        <v>43</v>
      </c>
    </row>
    <row r="150" spans="2:12">
      <c r="B150" s="29" t="s">
        <v>743</v>
      </c>
      <c r="C150" s="29" t="s">
        <v>744</v>
      </c>
      <c r="D150" s="29" t="s">
        <v>745</v>
      </c>
      <c r="F150" s="29" t="s">
        <v>746</v>
      </c>
      <c r="G150" s="29">
        <v>191</v>
      </c>
      <c r="I150" s="29" t="s">
        <v>55</v>
      </c>
      <c r="J150" s="29" t="s">
        <v>103</v>
      </c>
      <c r="K150" s="29" t="s">
        <v>104</v>
      </c>
      <c r="L150" s="29" t="s">
        <v>43</v>
      </c>
    </row>
    <row r="151" spans="2:12">
      <c r="B151" s="29" t="s">
        <v>747</v>
      </c>
      <c r="C151" s="29" t="s">
        <v>748</v>
      </c>
      <c r="D151" s="29" t="s">
        <v>749</v>
      </c>
      <c r="F151" s="29" t="s">
        <v>750</v>
      </c>
      <c r="G151" s="29">
        <v>171</v>
      </c>
      <c r="I151" s="29" t="s">
        <v>55</v>
      </c>
      <c r="J151" s="29" t="s">
        <v>41</v>
      </c>
      <c r="K151" s="29" t="s">
        <v>42</v>
      </c>
      <c r="L151" s="29" t="s">
        <v>43</v>
      </c>
    </row>
    <row r="152" spans="2:12">
      <c r="B152" s="29" t="s">
        <v>751</v>
      </c>
      <c r="C152" s="29" t="s">
        <v>752</v>
      </c>
      <c r="D152" s="29" t="s">
        <v>753</v>
      </c>
      <c r="F152" s="29" t="s">
        <v>754</v>
      </c>
      <c r="G152" s="29">
        <v>312</v>
      </c>
      <c r="I152" s="29" t="s">
        <v>755</v>
      </c>
      <c r="J152" s="29" t="s">
        <v>127</v>
      </c>
      <c r="K152" s="29" t="s">
        <v>128</v>
      </c>
      <c r="L152" s="29" t="s">
        <v>43</v>
      </c>
    </row>
    <row r="153" spans="2:12">
      <c r="B153" s="29" t="s">
        <v>756</v>
      </c>
      <c r="C153" s="29" t="s">
        <v>757</v>
      </c>
      <c r="D153" s="29" t="s">
        <v>758</v>
      </c>
      <c r="F153" s="29" t="s">
        <v>759</v>
      </c>
      <c r="G153" s="29">
        <v>122</v>
      </c>
      <c r="I153" s="29" t="s">
        <v>55</v>
      </c>
      <c r="J153" s="29" t="s">
        <v>133</v>
      </c>
      <c r="K153" s="29" t="s">
        <v>134</v>
      </c>
      <c r="L153" s="29" t="s">
        <v>43</v>
      </c>
    </row>
    <row r="154" spans="2:12">
      <c r="B154" s="29" t="s">
        <v>760</v>
      </c>
      <c r="C154" s="29" t="s">
        <v>761</v>
      </c>
      <c r="D154" s="29" t="s">
        <v>762</v>
      </c>
      <c r="F154" s="29" t="s">
        <v>661</v>
      </c>
      <c r="I154" s="29" t="s">
        <v>40</v>
      </c>
      <c r="J154" s="29" t="s">
        <v>127</v>
      </c>
      <c r="K154" s="29" t="s">
        <v>128</v>
      </c>
      <c r="L154" s="29" t="s">
        <v>43</v>
      </c>
    </row>
    <row r="155" spans="2:12">
      <c r="B155" s="29" t="s">
        <v>763</v>
      </c>
      <c r="C155" s="29" t="s">
        <v>764</v>
      </c>
      <c r="D155" s="29" t="s">
        <v>765</v>
      </c>
      <c r="F155" s="29" t="s">
        <v>766</v>
      </c>
      <c r="G155" s="29">
        <v>228</v>
      </c>
      <c r="I155" s="29" t="s">
        <v>767</v>
      </c>
      <c r="J155" s="29" t="s">
        <v>114</v>
      </c>
      <c r="K155" s="29" t="s">
        <v>115</v>
      </c>
      <c r="L155" s="29" t="s">
        <v>43</v>
      </c>
    </row>
    <row r="156" spans="2:12">
      <c r="B156" s="29" t="s">
        <v>768</v>
      </c>
      <c r="C156" s="29" t="s">
        <v>769</v>
      </c>
      <c r="D156" s="29" t="s">
        <v>728</v>
      </c>
      <c r="F156" s="29" t="s">
        <v>770</v>
      </c>
      <c r="I156" s="29" t="s">
        <v>40</v>
      </c>
      <c r="J156" s="29" t="s">
        <v>139</v>
      </c>
      <c r="K156" s="29" t="s">
        <v>140</v>
      </c>
      <c r="L156" s="29" t="s">
        <v>43</v>
      </c>
    </row>
    <row r="157" spans="2:12">
      <c r="B157" s="29" t="s">
        <v>771</v>
      </c>
      <c r="C157" s="29" t="s">
        <v>772</v>
      </c>
      <c r="D157" s="29" t="s">
        <v>773</v>
      </c>
      <c r="F157" s="29" t="s">
        <v>774</v>
      </c>
      <c r="G157" s="29">
        <v>61</v>
      </c>
      <c r="I157" s="29" t="s">
        <v>55</v>
      </c>
      <c r="J157" s="29" t="s">
        <v>103</v>
      </c>
      <c r="K157" s="29" t="s">
        <v>104</v>
      </c>
      <c r="L157" s="29" t="s">
        <v>43</v>
      </c>
    </row>
    <row r="158" spans="2:12">
      <c r="B158" s="29" t="s">
        <v>775</v>
      </c>
      <c r="C158" s="29" t="s">
        <v>776</v>
      </c>
      <c r="D158" s="29" t="s">
        <v>777</v>
      </c>
      <c r="F158" s="29" t="s">
        <v>778</v>
      </c>
      <c r="I158" s="29" t="s">
        <v>40</v>
      </c>
      <c r="J158" s="29" t="s">
        <v>114</v>
      </c>
      <c r="K158" s="29" t="s">
        <v>115</v>
      </c>
      <c r="L158" s="29" t="s">
        <v>43</v>
      </c>
    </row>
    <row r="159" spans="2:12">
      <c r="B159" s="29" t="s">
        <v>779</v>
      </c>
      <c r="C159" s="29" t="s">
        <v>780</v>
      </c>
      <c r="D159" s="29" t="s">
        <v>781</v>
      </c>
      <c r="F159" s="29" t="s">
        <v>782</v>
      </c>
      <c r="G159" s="29">
        <v>76</v>
      </c>
      <c r="I159" s="29" t="s">
        <v>783</v>
      </c>
      <c r="J159" s="34" t="s">
        <v>784</v>
      </c>
      <c r="K159" s="29" t="s">
        <v>785</v>
      </c>
      <c r="L159" s="29" t="s">
        <v>43</v>
      </c>
    </row>
    <row r="160" spans="2:12">
      <c r="B160" s="29" t="s">
        <v>786</v>
      </c>
      <c r="C160" s="29" t="s">
        <v>787</v>
      </c>
      <c r="D160" s="29" t="s">
        <v>788</v>
      </c>
      <c r="F160" s="29" t="s">
        <v>789</v>
      </c>
      <c r="G160" s="29">
        <v>319</v>
      </c>
      <c r="I160" s="29" t="s">
        <v>55</v>
      </c>
      <c r="J160" s="29" t="s">
        <v>182</v>
      </c>
      <c r="K160" s="29" t="s">
        <v>183</v>
      </c>
      <c r="L160" s="29" t="s">
        <v>43</v>
      </c>
    </row>
    <row r="161" spans="2:12" ht="30">
      <c r="B161" s="29" t="s">
        <v>790</v>
      </c>
      <c r="C161" s="29" t="s">
        <v>791</v>
      </c>
      <c r="D161" s="29" t="s">
        <v>792</v>
      </c>
      <c r="F161" s="29" t="s">
        <v>793</v>
      </c>
      <c r="I161" s="29" t="s">
        <v>40</v>
      </c>
      <c r="J161" s="29" t="s">
        <v>247</v>
      </c>
      <c r="K161" s="29" t="s">
        <v>248</v>
      </c>
      <c r="L161" s="29" t="s">
        <v>43</v>
      </c>
    </row>
    <row r="162" spans="2:12">
      <c r="B162" s="29" t="s">
        <v>794</v>
      </c>
      <c r="C162" s="29" t="s">
        <v>795</v>
      </c>
      <c r="D162" s="29" t="s">
        <v>796</v>
      </c>
      <c r="F162" s="29" t="s">
        <v>797</v>
      </c>
      <c r="G162" s="29">
        <v>121</v>
      </c>
      <c r="I162" s="29" t="s">
        <v>55</v>
      </c>
      <c r="J162" s="29" t="s">
        <v>127</v>
      </c>
      <c r="K162" s="29" t="s">
        <v>128</v>
      </c>
      <c r="L162" s="29" t="s">
        <v>43</v>
      </c>
    </row>
    <row r="163" spans="2:12">
      <c r="B163" s="29" t="s">
        <v>798</v>
      </c>
      <c r="C163" s="29" t="s">
        <v>799</v>
      </c>
      <c r="D163" s="29" t="s">
        <v>781</v>
      </c>
      <c r="F163" s="29" t="s">
        <v>800</v>
      </c>
      <c r="I163" s="29" t="s">
        <v>40</v>
      </c>
      <c r="J163" s="29" t="s">
        <v>801</v>
      </c>
      <c r="K163" s="29" t="s">
        <v>802</v>
      </c>
      <c r="L163" s="29" t="s">
        <v>43</v>
      </c>
    </row>
    <row r="164" spans="2:12">
      <c r="B164" s="29" t="s">
        <v>803</v>
      </c>
      <c r="C164" s="29" t="s">
        <v>804</v>
      </c>
      <c r="D164" s="29" t="s">
        <v>805</v>
      </c>
      <c r="F164" s="29" t="s">
        <v>806</v>
      </c>
      <c r="G164" s="29">
        <v>115</v>
      </c>
      <c r="I164" s="29" t="s">
        <v>55</v>
      </c>
      <c r="J164" s="29" t="s">
        <v>139</v>
      </c>
      <c r="K164" s="29" t="s">
        <v>140</v>
      </c>
      <c r="L164" s="29" t="s">
        <v>43</v>
      </c>
    </row>
    <row r="165" spans="2:12">
      <c r="B165" s="29" t="s">
        <v>807</v>
      </c>
      <c r="C165" s="29" t="s">
        <v>808</v>
      </c>
      <c r="D165" s="29" t="s">
        <v>809</v>
      </c>
      <c r="J165" s="29" t="s">
        <v>810</v>
      </c>
      <c r="K165" s="29" t="s">
        <v>811</v>
      </c>
      <c r="L165" s="29" t="s">
        <v>43</v>
      </c>
    </row>
    <row r="166" spans="2:12">
      <c r="B166" s="29" t="s">
        <v>812</v>
      </c>
      <c r="C166" s="29" t="s">
        <v>813</v>
      </c>
      <c r="D166" s="29" t="s">
        <v>814</v>
      </c>
      <c r="F166" s="29" t="s">
        <v>815</v>
      </c>
      <c r="G166" s="29">
        <v>85</v>
      </c>
      <c r="I166" s="29" t="s">
        <v>816</v>
      </c>
      <c r="J166" s="29" t="s">
        <v>817</v>
      </c>
      <c r="K166" s="29" t="s">
        <v>128</v>
      </c>
      <c r="L166" s="29" t="s">
        <v>43</v>
      </c>
    </row>
    <row r="167" spans="2:12">
      <c r="B167" s="29" t="s">
        <v>818</v>
      </c>
      <c r="C167" s="29" t="s">
        <v>819</v>
      </c>
      <c r="D167" s="29" t="s">
        <v>820</v>
      </c>
      <c r="F167" s="29" t="s">
        <v>821</v>
      </c>
      <c r="G167" s="29">
        <v>18</v>
      </c>
      <c r="I167" s="29" t="s">
        <v>822</v>
      </c>
      <c r="J167" s="29" t="s">
        <v>139</v>
      </c>
      <c r="K167" s="29" t="s">
        <v>140</v>
      </c>
      <c r="L167" s="29" t="s">
        <v>43</v>
      </c>
    </row>
    <row r="168" spans="2:12" ht="30">
      <c r="B168" s="29" t="s">
        <v>823</v>
      </c>
      <c r="C168" s="29" t="s">
        <v>824</v>
      </c>
      <c r="D168" s="29" t="s">
        <v>825</v>
      </c>
      <c r="F168" s="29" t="s">
        <v>826</v>
      </c>
      <c r="I168" s="29" t="s">
        <v>40</v>
      </c>
      <c r="J168" s="29" t="s">
        <v>738</v>
      </c>
      <c r="K168" s="29" t="s">
        <v>82</v>
      </c>
      <c r="L168" s="29" t="s">
        <v>43</v>
      </c>
    </row>
    <row r="169" spans="2:12">
      <c r="B169" s="29" t="s">
        <v>827</v>
      </c>
      <c r="C169" s="29" t="s">
        <v>828</v>
      </c>
      <c r="D169" s="29" t="s">
        <v>829</v>
      </c>
      <c r="F169" s="29" t="s">
        <v>830</v>
      </c>
      <c r="G169" s="29">
        <v>486</v>
      </c>
      <c r="I169" s="29" t="s">
        <v>55</v>
      </c>
      <c r="J169" s="29" t="s">
        <v>41</v>
      </c>
      <c r="K169" s="29" t="s">
        <v>42</v>
      </c>
      <c r="L169" s="29" t="s">
        <v>43</v>
      </c>
    </row>
    <row r="170" spans="2:12">
      <c r="B170" s="29" t="s">
        <v>831</v>
      </c>
      <c r="C170" s="29" t="s">
        <v>832</v>
      </c>
      <c r="D170" s="29" t="s">
        <v>833</v>
      </c>
      <c r="F170" s="29" t="s">
        <v>834</v>
      </c>
      <c r="I170" s="29" t="s">
        <v>40</v>
      </c>
      <c r="J170" s="29" t="s">
        <v>41</v>
      </c>
      <c r="K170" s="29" t="s">
        <v>42</v>
      </c>
      <c r="L170" s="29" t="s">
        <v>43</v>
      </c>
    </row>
    <row r="171" spans="2:12">
      <c r="B171" s="29" t="s">
        <v>835</v>
      </c>
      <c r="C171" s="29" t="s">
        <v>836</v>
      </c>
      <c r="D171" s="29" t="s">
        <v>837</v>
      </c>
      <c r="F171" s="29" t="s">
        <v>838</v>
      </c>
      <c r="G171" s="29">
        <v>54</v>
      </c>
      <c r="I171" s="29" t="s">
        <v>55</v>
      </c>
      <c r="J171" s="29" t="s">
        <v>196</v>
      </c>
      <c r="K171" s="29" t="s">
        <v>289</v>
      </c>
      <c r="L171" s="29" t="s">
        <v>43</v>
      </c>
    </row>
    <row r="172" spans="2:12" ht="30">
      <c r="B172" s="29" t="s">
        <v>839</v>
      </c>
      <c r="C172" s="29" t="s">
        <v>840</v>
      </c>
      <c r="D172" s="29" t="s">
        <v>841</v>
      </c>
      <c r="F172" s="29" t="s">
        <v>842</v>
      </c>
      <c r="G172" s="29">
        <v>148</v>
      </c>
      <c r="I172" s="29" t="s">
        <v>55</v>
      </c>
      <c r="J172" s="29" t="s">
        <v>738</v>
      </c>
      <c r="K172" s="29" t="s">
        <v>82</v>
      </c>
      <c r="L172" s="29" t="s">
        <v>43</v>
      </c>
    </row>
    <row r="173" spans="2:12" ht="30">
      <c r="B173" s="29" t="s">
        <v>843</v>
      </c>
      <c r="C173" s="29" t="s">
        <v>844</v>
      </c>
      <c r="D173" s="29" t="s">
        <v>845</v>
      </c>
      <c r="F173" s="29" t="s">
        <v>846</v>
      </c>
      <c r="I173" s="29" t="s">
        <v>40</v>
      </c>
      <c r="J173" s="29" t="s">
        <v>847</v>
      </c>
      <c r="K173" s="29" t="s">
        <v>848</v>
      </c>
      <c r="L173" s="29" t="s">
        <v>43</v>
      </c>
    </row>
    <row r="174" spans="2:12" ht="30">
      <c r="B174" s="29" t="s">
        <v>849</v>
      </c>
      <c r="C174" s="29" t="s">
        <v>850</v>
      </c>
      <c r="D174" s="29" t="s">
        <v>845</v>
      </c>
      <c r="F174" s="29" t="s">
        <v>846</v>
      </c>
      <c r="I174" s="29" t="s">
        <v>40</v>
      </c>
      <c r="J174" s="29" t="s">
        <v>847</v>
      </c>
      <c r="K174" s="29" t="s">
        <v>848</v>
      </c>
      <c r="L174" s="29" t="s">
        <v>43</v>
      </c>
    </row>
    <row r="175" spans="2:12">
      <c r="B175" s="29" t="s">
        <v>851</v>
      </c>
      <c r="C175" s="29" t="s">
        <v>852</v>
      </c>
      <c r="D175" s="29" t="s">
        <v>853</v>
      </c>
      <c r="F175" s="29" t="s">
        <v>854</v>
      </c>
      <c r="G175" s="29">
        <v>141</v>
      </c>
      <c r="I175" s="29" t="s">
        <v>55</v>
      </c>
      <c r="J175" s="29" t="s">
        <v>41</v>
      </c>
      <c r="K175" s="29" t="s">
        <v>563</v>
      </c>
      <c r="L175" s="29" t="s">
        <v>43</v>
      </c>
    </row>
    <row r="176" spans="2:12">
      <c r="B176" s="29" t="s">
        <v>855</v>
      </c>
      <c r="C176" s="29" t="s">
        <v>856</v>
      </c>
      <c r="D176" s="29" t="s">
        <v>857</v>
      </c>
      <c r="F176" s="29" t="s">
        <v>858</v>
      </c>
      <c r="I176" s="29" t="s">
        <v>40</v>
      </c>
      <c r="J176" s="29" t="s">
        <v>859</v>
      </c>
      <c r="K176" s="29" t="s">
        <v>860</v>
      </c>
      <c r="L176" s="29" t="s">
        <v>43</v>
      </c>
    </row>
    <row r="177" spans="2:12">
      <c r="B177" s="29" t="s">
        <v>861</v>
      </c>
      <c r="C177" s="29" t="s">
        <v>862</v>
      </c>
      <c r="D177" s="29" t="s">
        <v>863</v>
      </c>
      <c r="F177" s="29" t="s">
        <v>864</v>
      </c>
      <c r="I177" s="29" t="s">
        <v>40</v>
      </c>
      <c r="J177" s="29" t="s">
        <v>127</v>
      </c>
      <c r="K177" s="29" t="s">
        <v>128</v>
      </c>
      <c r="L177" s="29" t="s">
        <v>43</v>
      </c>
    </row>
    <row r="178" spans="2:12">
      <c r="B178" s="29" t="s">
        <v>865</v>
      </c>
      <c r="C178" s="29" t="s">
        <v>866</v>
      </c>
      <c r="D178" s="29" t="s">
        <v>867</v>
      </c>
      <c r="F178" s="29" t="s">
        <v>868</v>
      </c>
      <c r="J178" s="29" t="s">
        <v>127</v>
      </c>
      <c r="K178" s="29" t="s">
        <v>128</v>
      </c>
      <c r="L178" s="29" t="s">
        <v>43</v>
      </c>
    </row>
    <row r="179" spans="2:12">
      <c r="B179" s="29" t="s">
        <v>869</v>
      </c>
      <c r="C179" s="29" t="s">
        <v>870</v>
      </c>
      <c r="D179" s="29" t="s">
        <v>871</v>
      </c>
      <c r="F179" s="29" t="s">
        <v>872</v>
      </c>
      <c r="G179" s="29">
        <v>68</v>
      </c>
      <c r="I179" s="29" t="s">
        <v>55</v>
      </c>
      <c r="J179" s="29" t="s">
        <v>133</v>
      </c>
      <c r="K179" s="29" t="s">
        <v>134</v>
      </c>
      <c r="L179" s="29" t="s">
        <v>43</v>
      </c>
    </row>
    <row r="180" spans="2:12">
      <c r="B180" s="29" t="s">
        <v>873</v>
      </c>
      <c r="C180" s="29" t="s">
        <v>874</v>
      </c>
      <c r="D180" s="29" t="s">
        <v>875</v>
      </c>
      <c r="F180" s="29" t="s">
        <v>876</v>
      </c>
      <c r="G180" s="29">
        <v>1394</v>
      </c>
      <c r="I180" s="29" t="s">
        <v>55</v>
      </c>
      <c r="J180" s="35" t="s">
        <v>877</v>
      </c>
      <c r="K180" s="29" t="s">
        <v>260</v>
      </c>
      <c r="L180" s="29" t="s">
        <v>43</v>
      </c>
    </row>
    <row r="181" spans="2:12">
      <c r="B181" s="29" t="s">
        <v>878</v>
      </c>
      <c r="C181" s="29" t="s">
        <v>879</v>
      </c>
      <c r="D181" s="29" t="s">
        <v>880</v>
      </c>
      <c r="F181" s="29" t="s">
        <v>881</v>
      </c>
      <c r="I181" s="29" t="s">
        <v>40</v>
      </c>
      <c r="J181" s="29" t="s">
        <v>127</v>
      </c>
      <c r="K181" s="29" t="s">
        <v>128</v>
      </c>
      <c r="L181" s="29" t="s">
        <v>43</v>
      </c>
    </row>
    <row r="182" spans="2:12">
      <c r="B182" s="29" t="s">
        <v>882</v>
      </c>
      <c r="C182" s="29" t="s">
        <v>883</v>
      </c>
      <c r="D182" s="29" t="s">
        <v>884</v>
      </c>
      <c r="F182" s="29" t="s">
        <v>885</v>
      </c>
      <c r="I182" s="29" t="s">
        <v>40</v>
      </c>
      <c r="J182" s="29" t="s">
        <v>127</v>
      </c>
      <c r="K182" s="29" t="s">
        <v>128</v>
      </c>
      <c r="L182" s="29" t="s">
        <v>43</v>
      </c>
    </row>
    <row r="183" spans="2:12">
      <c r="B183" s="29" t="s">
        <v>886</v>
      </c>
      <c r="C183" s="29" t="s">
        <v>887</v>
      </c>
      <c r="D183" s="29" t="s">
        <v>888</v>
      </c>
      <c r="F183" s="29" t="s">
        <v>889</v>
      </c>
      <c r="G183" s="29">
        <v>166</v>
      </c>
      <c r="I183" s="29" t="s">
        <v>55</v>
      </c>
      <c r="J183" s="29" t="s">
        <v>41</v>
      </c>
      <c r="K183" s="29" t="s">
        <v>42</v>
      </c>
      <c r="L183" s="29" t="s">
        <v>43</v>
      </c>
    </row>
    <row r="184" spans="2:12" s="31" customFormat="1">
      <c r="B184" s="31" t="s">
        <v>890</v>
      </c>
      <c r="C184" s="31" t="s">
        <v>891</v>
      </c>
      <c r="D184" s="31" t="s">
        <v>892</v>
      </c>
      <c r="F184" s="31" t="s">
        <v>893</v>
      </c>
      <c r="I184" s="31" t="s">
        <v>40</v>
      </c>
      <c r="J184" s="31" t="s">
        <v>114</v>
      </c>
      <c r="K184" s="31" t="s">
        <v>115</v>
      </c>
      <c r="L184" s="31" t="s">
        <v>43</v>
      </c>
    </row>
    <row r="185" spans="2:12">
      <c r="B185" s="29" t="s">
        <v>894</v>
      </c>
      <c r="C185" s="29" t="s">
        <v>895</v>
      </c>
      <c r="D185" s="29" t="s">
        <v>896</v>
      </c>
      <c r="F185" s="29" t="s">
        <v>897</v>
      </c>
      <c r="I185" s="29" t="s">
        <v>40</v>
      </c>
      <c r="J185" s="29" t="s">
        <v>898</v>
      </c>
      <c r="K185" s="29" t="s">
        <v>899</v>
      </c>
      <c r="L185" s="29" t="s">
        <v>43</v>
      </c>
    </row>
    <row r="186" spans="2:12">
      <c r="B186" s="29" t="s">
        <v>900</v>
      </c>
      <c r="C186" s="29" t="s">
        <v>901</v>
      </c>
      <c r="D186" s="29" t="s">
        <v>902</v>
      </c>
      <c r="F186" s="29" t="s">
        <v>903</v>
      </c>
      <c r="G186" s="29">
        <v>484</v>
      </c>
      <c r="I186" s="29" t="s">
        <v>40</v>
      </c>
      <c r="J186" s="29" t="s">
        <v>139</v>
      </c>
      <c r="K186" s="29" t="s">
        <v>140</v>
      </c>
      <c r="L186" s="29" t="s">
        <v>43</v>
      </c>
    </row>
    <row r="187" spans="2:12" ht="30">
      <c r="B187" s="29" t="s">
        <v>904</v>
      </c>
      <c r="C187" s="29" t="s">
        <v>905</v>
      </c>
      <c r="D187" s="29" t="s">
        <v>906</v>
      </c>
      <c r="F187" s="29" t="s">
        <v>907</v>
      </c>
      <c r="G187" s="29">
        <v>18</v>
      </c>
      <c r="I187" s="29" t="s">
        <v>55</v>
      </c>
      <c r="J187" s="29" t="s">
        <v>41</v>
      </c>
      <c r="K187" s="29" t="s">
        <v>42</v>
      </c>
      <c r="L187" s="29" t="s">
        <v>43</v>
      </c>
    </row>
    <row r="188" spans="2:12">
      <c r="B188" s="29" t="s">
        <v>908</v>
      </c>
      <c r="C188" s="29" t="s">
        <v>909</v>
      </c>
      <c r="D188" s="29" t="s">
        <v>179</v>
      </c>
      <c r="F188" s="29" t="s">
        <v>910</v>
      </c>
      <c r="I188" s="29" t="s">
        <v>40</v>
      </c>
      <c r="J188" s="29" t="s">
        <v>339</v>
      </c>
      <c r="K188" s="29" t="s">
        <v>340</v>
      </c>
      <c r="L188" s="29" t="s">
        <v>43</v>
      </c>
    </row>
    <row r="189" spans="2:12">
      <c r="B189" s="29" t="s">
        <v>911</v>
      </c>
      <c r="C189" s="29" t="s">
        <v>912</v>
      </c>
      <c r="D189" s="29" t="s">
        <v>913</v>
      </c>
      <c r="F189" s="29" t="s">
        <v>914</v>
      </c>
      <c r="G189" s="29">
        <v>244</v>
      </c>
      <c r="I189" s="29" t="s">
        <v>915</v>
      </c>
      <c r="J189" s="29" t="s">
        <v>916</v>
      </c>
      <c r="K189" s="29" t="s">
        <v>917</v>
      </c>
      <c r="L189" s="29" t="s">
        <v>43</v>
      </c>
    </row>
    <row r="190" spans="2:12">
      <c r="B190" s="29" t="s">
        <v>918</v>
      </c>
      <c r="C190" s="29" t="s">
        <v>919</v>
      </c>
      <c r="D190" s="29" t="s">
        <v>920</v>
      </c>
      <c r="F190" s="29" t="s">
        <v>921</v>
      </c>
      <c r="G190" s="29">
        <v>134</v>
      </c>
      <c r="I190" s="29" t="s">
        <v>816</v>
      </c>
      <c r="J190" s="29" t="s">
        <v>922</v>
      </c>
      <c r="K190" s="29" t="s">
        <v>128</v>
      </c>
      <c r="L190" s="29" t="s">
        <v>43</v>
      </c>
    </row>
    <row r="191" spans="2:12">
      <c r="B191" s="29" t="s">
        <v>923</v>
      </c>
      <c r="C191" s="29" t="s">
        <v>924</v>
      </c>
      <c r="D191" s="29" t="s">
        <v>925</v>
      </c>
      <c r="F191" s="29" t="s">
        <v>926</v>
      </c>
      <c r="G191" s="29">
        <v>68</v>
      </c>
      <c r="I191" s="29" t="s">
        <v>55</v>
      </c>
      <c r="J191" s="29" t="s">
        <v>103</v>
      </c>
      <c r="K191" s="29" t="s">
        <v>104</v>
      </c>
      <c r="L191" s="29" t="s">
        <v>43</v>
      </c>
    </row>
    <row r="192" spans="2:12">
      <c r="B192" s="29" t="s">
        <v>927</v>
      </c>
      <c r="C192" s="29" t="s">
        <v>928</v>
      </c>
      <c r="D192" s="29" t="s">
        <v>929</v>
      </c>
      <c r="F192" s="29" t="s">
        <v>930</v>
      </c>
      <c r="I192" s="29" t="s">
        <v>40</v>
      </c>
      <c r="J192" s="29" t="s">
        <v>41</v>
      </c>
      <c r="K192" s="29" t="s">
        <v>42</v>
      </c>
      <c r="L192" s="29" t="s">
        <v>43</v>
      </c>
    </row>
    <row r="193" spans="2:12">
      <c r="B193" s="29" t="s">
        <v>931</v>
      </c>
      <c r="C193" s="29" t="s">
        <v>932</v>
      </c>
      <c r="D193" s="29" t="s">
        <v>933</v>
      </c>
      <c r="F193" s="29" t="s">
        <v>934</v>
      </c>
      <c r="I193" s="29" t="s">
        <v>935</v>
      </c>
      <c r="J193" s="29" t="s">
        <v>936</v>
      </c>
      <c r="K193" s="29" t="s">
        <v>937</v>
      </c>
      <c r="L193" s="29" t="s">
        <v>43</v>
      </c>
    </row>
    <row r="194" spans="2:12">
      <c r="B194" s="29" t="s">
        <v>938</v>
      </c>
      <c r="C194" s="29" t="s">
        <v>939</v>
      </c>
      <c r="D194" s="29" t="s">
        <v>940</v>
      </c>
      <c r="F194" s="29" t="s">
        <v>941</v>
      </c>
      <c r="I194" s="29" t="s">
        <v>40</v>
      </c>
      <c r="J194" s="29" t="s">
        <v>942</v>
      </c>
      <c r="K194" s="29" t="s">
        <v>943</v>
      </c>
      <c r="L194" s="29" t="s">
        <v>43</v>
      </c>
    </row>
    <row r="195" spans="2:12">
      <c r="B195" s="29" t="s">
        <v>944</v>
      </c>
      <c r="C195" s="29" t="s">
        <v>945</v>
      </c>
      <c r="D195" s="29" t="s">
        <v>946</v>
      </c>
      <c r="F195" s="29" t="s">
        <v>947</v>
      </c>
      <c r="G195" s="29">
        <v>542</v>
      </c>
      <c r="I195" s="29" t="s">
        <v>55</v>
      </c>
      <c r="J195" s="29" t="s">
        <v>320</v>
      </c>
      <c r="K195" s="29" t="s">
        <v>321</v>
      </c>
      <c r="L195" s="29" t="s">
        <v>43</v>
      </c>
    </row>
    <row r="196" spans="2:12">
      <c r="B196" s="29" t="s">
        <v>948</v>
      </c>
      <c r="C196" s="29" t="s">
        <v>949</v>
      </c>
      <c r="D196" s="29" t="s">
        <v>950</v>
      </c>
      <c r="F196" s="29" t="s">
        <v>941</v>
      </c>
      <c r="I196" s="29" t="s">
        <v>40</v>
      </c>
      <c r="J196" s="29" t="s">
        <v>114</v>
      </c>
      <c r="K196" s="29" t="s">
        <v>115</v>
      </c>
      <c r="L196" s="29" t="s">
        <v>43</v>
      </c>
    </row>
    <row r="197" spans="2:12">
      <c r="B197" s="29" t="s">
        <v>951</v>
      </c>
      <c r="C197" s="29" t="s">
        <v>952</v>
      </c>
      <c r="D197" s="29" t="s">
        <v>179</v>
      </c>
      <c r="F197" s="29" t="s">
        <v>953</v>
      </c>
      <c r="I197" s="29" t="s">
        <v>40</v>
      </c>
      <c r="J197" s="29" t="s">
        <v>320</v>
      </c>
      <c r="K197" s="29" t="s">
        <v>321</v>
      </c>
      <c r="L197" s="29" t="s">
        <v>43</v>
      </c>
    </row>
    <row r="198" spans="2:12">
      <c r="B198" s="29" t="s">
        <v>954</v>
      </c>
      <c r="C198" s="29" t="s">
        <v>955</v>
      </c>
      <c r="D198" s="29" t="s">
        <v>956</v>
      </c>
      <c r="F198" s="29" t="s">
        <v>957</v>
      </c>
      <c r="G198" s="29">
        <v>263</v>
      </c>
      <c r="I198" s="29" t="s">
        <v>55</v>
      </c>
      <c r="J198" s="29" t="s">
        <v>103</v>
      </c>
      <c r="K198" s="29" t="s">
        <v>104</v>
      </c>
      <c r="L198" s="29" t="s">
        <v>43</v>
      </c>
    </row>
    <row r="199" spans="2:12">
      <c r="B199" s="29" t="s">
        <v>958</v>
      </c>
      <c r="C199" s="29" t="s">
        <v>959</v>
      </c>
      <c r="D199" s="29" t="s">
        <v>960</v>
      </c>
      <c r="F199" s="29" t="s">
        <v>54</v>
      </c>
      <c r="G199" s="29">
        <v>170</v>
      </c>
      <c r="I199" s="29" t="s">
        <v>55</v>
      </c>
      <c r="J199" s="29" t="s">
        <v>114</v>
      </c>
      <c r="K199" s="29" t="s">
        <v>115</v>
      </c>
      <c r="L199" s="29" t="s">
        <v>43</v>
      </c>
    </row>
    <row r="200" spans="2:12">
      <c r="B200" s="29" t="s">
        <v>961</v>
      </c>
      <c r="C200" s="29" t="s">
        <v>962</v>
      </c>
      <c r="D200" s="29" t="s">
        <v>228</v>
      </c>
      <c r="F200" s="29" t="s">
        <v>229</v>
      </c>
      <c r="G200" s="29">
        <v>213</v>
      </c>
      <c r="H200" s="29" t="s">
        <v>462</v>
      </c>
      <c r="I200" s="29" t="s">
        <v>230</v>
      </c>
      <c r="J200" s="29" t="s">
        <v>231</v>
      </c>
      <c r="K200" s="29" t="s">
        <v>232</v>
      </c>
      <c r="L200" s="29" t="s">
        <v>43</v>
      </c>
    </row>
    <row r="201" spans="2:12">
      <c r="B201" s="29" t="s">
        <v>963</v>
      </c>
      <c r="C201" s="29" t="s">
        <v>964</v>
      </c>
      <c r="D201" s="29" t="s">
        <v>965</v>
      </c>
      <c r="F201" s="29" t="s">
        <v>966</v>
      </c>
      <c r="I201" s="29" t="s">
        <v>40</v>
      </c>
      <c r="J201" s="29" t="s">
        <v>56</v>
      </c>
      <c r="K201" s="29" t="s">
        <v>57</v>
      </c>
      <c r="L201" s="29" t="s">
        <v>43</v>
      </c>
    </row>
    <row r="202" spans="2:12">
      <c r="B202" s="29" t="s">
        <v>967</v>
      </c>
      <c r="C202" s="29" t="s">
        <v>968</v>
      </c>
      <c r="D202" s="29" t="s">
        <v>969</v>
      </c>
      <c r="F202" s="29" t="s">
        <v>970</v>
      </c>
      <c r="G202" s="29">
        <v>207</v>
      </c>
      <c r="I202" s="29" t="s">
        <v>55</v>
      </c>
      <c r="J202" s="29" t="s">
        <v>859</v>
      </c>
      <c r="K202" s="29" t="s">
        <v>860</v>
      </c>
      <c r="L202" s="29" t="s">
        <v>43</v>
      </c>
    </row>
    <row r="203" spans="2:12">
      <c r="B203" s="29" t="s">
        <v>971</v>
      </c>
      <c r="C203" s="29" t="s">
        <v>972</v>
      </c>
      <c r="D203" s="29" t="s">
        <v>973</v>
      </c>
      <c r="F203" s="29" t="s">
        <v>974</v>
      </c>
      <c r="G203" s="29">
        <v>189</v>
      </c>
      <c r="I203" s="29" t="s">
        <v>181</v>
      </c>
      <c r="J203" s="29" t="s">
        <v>182</v>
      </c>
      <c r="K203" s="29" t="s">
        <v>183</v>
      </c>
      <c r="L203" s="29" t="s">
        <v>43</v>
      </c>
    </row>
    <row r="204" spans="2:12">
      <c r="B204" s="29" t="s">
        <v>975</v>
      </c>
      <c r="C204" s="29" t="s">
        <v>976</v>
      </c>
      <c r="D204" s="29" t="s">
        <v>977</v>
      </c>
      <c r="F204" s="29" t="s">
        <v>978</v>
      </c>
      <c r="G204" s="29">
        <v>65</v>
      </c>
      <c r="I204" s="29" t="s">
        <v>297</v>
      </c>
      <c r="J204" s="29" t="s">
        <v>103</v>
      </c>
      <c r="K204" s="29" t="s">
        <v>104</v>
      </c>
      <c r="L204" s="29" t="s">
        <v>43</v>
      </c>
    </row>
    <row r="205" spans="2:12">
      <c r="B205" s="29" t="s">
        <v>979</v>
      </c>
      <c r="C205" s="29" t="s">
        <v>980</v>
      </c>
      <c r="D205" s="29" t="s">
        <v>981</v>
      </c>
      <c r="F205" s="29" t="s">
        <v>982</v>
      </c>
      <c r="G205" s="29">
        <v>1745</v>
      </c>
      <c r="I205" s="29" t="s">
        <v>983</v>
      </c>
      <c r="J205" s="29" t="s">
        <v>984</v>
      </c>
      <c r="K205" s="29" t="s">
        <v>232</v>
      </c>
      <c r="L205" s="29" t="s">
        <v>43</v>
      </c>
    </row>
    <row r="206" spans="2:12">
      <c r="B206" s="29" t="s">
        <v>985</v>
      </c>
      <c r="C206" s="29" t="s">
        <v>986</v>
      </c>
      <c r="D206" s="29" t="s">
        <v>987</v>
      </c>
      <c r="F206" s="29" t="s">
        <v>988</v>
      </c>
      <c r="G206" s="29">
        <v>455</v>
      </c>
      <c r="I206" s="29" t="s">
        <v>55</v>
      </c>
      <c r="J206" s="29" t="s">
        <v>738</v>
      </c>
      <c r="K206" s="29" t="s">
        <v>82</v>
      </c>
      <c r="L206" s="29" t="s">
        <v>43</v>
      </c>
    </row>
    <row r="207" spans="2:12" ht="30">
      <c r="B207" s="29" t="s">
        <v>989</v>
      </c>
      <c r="C207" s="29" t="s">
        <v>990</v>
      </c>
      <c r="D207" s="29" t="s">
        <v>991</v>
      </c>
      <c r="F207" s="29" t="s">
        <v>992</v>
      </c>
      <c r="G207" s="29">
        <v>628</v>
      </c>
      <c r="I207" s="29" t="s">
        <v>55</v>
      </c>
      <c r="J207" s="29" t="s">
        <v>993</v>
      </c>
      <c r="K207" s="29" t="s">
        <v>110</v>
      </c>
      <c r="L207" s="29" t="s">
        <v>43</v>
      </c>
    </row>
    <row r="208" spans="2:12">
      <c r="B208" s="29" t="s">
        <v>994</v>
      </c>
      <c r="C208" s="29" t="s">
        <v>995</v>
      </c>
      <c r="D208" s="29" t="s">
        <v>996</v>
      </c>
      <c r="F208" s="29" t="s">
        <v>997</v>
      </c>
      <c r="I208" s="29" t="s">
        <v>40</v>
      </c>
      <c r="J208" s="29" t="s">
        <v>283</v>
      </c>
      <c r="K208" s="29" t="s">
        <v>284</v>
      </c>
      <c r="L208" s="29" t="s">
        <v>43</v>
      </c>
    </row>
    <row r="209" spans="2:12" ht="30">
      <c r="B209" s="29" t="s">
        <v>998</v>
      </c>
      <c r="C209" s="29" t="s">
        <v>999</v>
      </c>
      <c r="D209" s="29" t="s">
        <v>1000</v>
      </c>
      <c r="F209" s="29" t="s">
        <v>1001</v>
      </c>
      <c r="I209" s="29" t="s">
        <v>40</v>
      </c>
      <c r="J209" s="29" t="s">
        <v>127</v>
      </c>
      <c r="K209" s="29" t="s">
        <v>128</v>
      </c>
      <c r="L209" s="29" t="s">
        <v>43</v>
      </c>
    </row>
    <row r="210" spans="2:12">
      <c r="B210" s="29" t="s">
        <v>1002</v>
      </c>
      <c r="C210" s="29" t="s">
        <v>1003</v>
      </c>
      <c r="D210" s="29" t="s">
        <v>1004</v>
      </c>
      <c r="F210" s="29" t="s">
        <v>1005</v>
      </c>
      <c r="G210" s="29">
        <v>377</v>
      </c>
      <c r="I210" s="29" t="s">
        <v>426</v>
      </c>
      <c r="J210" s="29" t="s">
        <v>103</v>
      </c>
      <c r="K210" s="29" t="s">
        <v>104</v>
      </c>
      <c r="L210" s="29" t="s">
        <v>43</v>
      </c>
    </row>
    <row r="211" spans="2:12" ht="30">
      <c r="B211" s="29" t="s">
        <v>1006</v>
      </c>
      <c r="C211" s="29" t="s">
        <v>1007</v>
      </c>
      <c r="D211" s="29" t="s">
        <v>1008</v>
      </c>
      <c r="F211" s="29" t="s">
        <v>1009</v>
      </c>
      <c r="G211" s="29">
        <v>85</v>
      </c>
      <c r="I211" s="29" t="s">
        <v>192</v>
      </c>
      <c r="J211" s="29" t="s">
        <v>114</v>
      </c>
      <c r="K211" s="29" t="s">
        <v>115</v>
      </c>
      <c r="L211" s="29" t="s">
        <v>43</v>
      </c>
    </row>
    <row r="212" spans="2:12" ht="30">
      <c r="B212" s="29" t="s">
        <v>1010</v>
      </c>
      <c r="C212" s="29" t="s">
        <v>1011</v>
      </c>
      <c r="D212" s="29">
        <v>33212522</v>
      </c>
      <c r="F212" s="29" t="s">
        <v>1012</v>
      </c>
      <c r="G212" s="29">
        <v>408</v>
      </c>
      <c r="I212" s="29" t="s">
        <v>1013</v>
      </c>
      <c r="J212" s="29" t="s">
        <v>103</v>
      </c>
      <c r="K212" s="29" t="s">
        <v>104</v>
      </c>
      <c r="L212" s="29" t="s">
        <v>43</v>
      </c>
    </row>
    <row r="213" spans="2:12">
      <c r="B213" s="29" t="s">
        <v>1014</v>
      </c>
      <c r="C213" s="29" t="s">
        <v>1015</v>
      </c>
      <c r="D213" s="29" t="s">
        <v>1016</v>
      </c>
      <c r="F213" s="29" t="s">
        <v>926</v>
      </c>
      <c r="G213" s="29">
        <v>193</v>
      </c>
      <c r="I213" s="29" t="s">
        <v>1017</v>
      </c>
      <c r="J213" s="29" t="s">
        <v>103</v>
      </c>
      <c r="K213" s="29" t="s">
        <v>104</v>
      </c>
      <c r="L213" s="29" t="s">
        <v>43</v>
      </c>
    </row>
    <row r="214" spans="2:12">
      <c r="B214" s="29" t="s">
        <v>1018</v>
      </c>
      <c r="C214" s="29" t="s">
        <v>1019</v>
      </c>
      <c r="D214" s="29" t="s">
        <v>1020</v>
      </c>
      <c r="F214" s="29" t="s">
        <v>1021</v>
      </c>
      <c r="I214" s="29" t="s">
        <v>40</v>
      </c>
      <c r="J214" s="29" t="s">
        <v>41</v>
      </c>
      <c r="K214" s="29" t="s">
        <v>42</v>
      </c>
      <c r="L214" s="29" t="s">
        <v>43</v>
      </c>
    </row>
    <row r="215" spans="2:12" ht="30">
      <c r="B215" s="29" t="s">
        <v>1022</v>
      </c>
      <c r="C215" s="29" t="s">
        <v>1023</v>
      </c>
      <c r="D215" s="29" t="s">
        <v>1024</v>
      </c>
      <c r="F215" s="29" t="s">
        <v>1025</v>
      </c>
      <c r="G215" s="29">
        <v>178</v>
      </c>
      <c r="I215" s="29" t="s">
        <v>1026</v>
      </c>
      <c r="J215" s="29" t="s">
        <v>1027</v>
      </c>
      <c r="K215" s="29" t="s">
        <v>1028</v>
      </c>
      <c r="L215" s="29" t="s">
        <v>43</v>
      </c>
    </row>
    <row r="216" spans="2:12" ht="30">
      <c r="B216" s="29" t="s">
        <v>1029</v>
      </c>
      <c r="C216" s="29" t="s">
        <v>1030</v>
      </c>
      <c r="D216" s="29" t="s">
        <v>1031</v>
      </c>
      <c r="F216" s="29" t="s">
        <v>1032</v>
      </c>
      <c r="G216" s="29">
        <v>583</v>
      </c>
      <c r="I216" s="29" t="s">
        <v>1033</v>
      </c>
      <c r="J216" s="29" t="s">
        <v>247</v>
      </c>
      <c r="K216" s="29" t="s">
        <v>248</v>
      </c>
      <c r="L216" s="29" t="s">
        <v>43</v>
      </c>
    </row>
    <row r="217" spans="2:12">
      <c r="B217" s="29" t="s">
        <v>1034</v>
      </c>
      <c r="C217" s="29" t="s">
        <v>1035</v>
      </c>
      <c r="D217" s="29" t="s">
        <v>1036</v>
      </c>
      <c r="F217" s="29" t="s">
        <v>1037</v>
      </c>
      <c r="I217" s="29" t="s">
        <v>40</v>
      </c>
      <c r="J217" s="29" t="s">
        <v>41</v>
      </c>
      <c r="K217" s="29" t="s">
        <v>42</v>
      </c>
      <c r="L217" s="29" t="s">
        <v>43</v>
      </c>
    </row>
    <row r="218" spans="2:12">
      <c r="B218" s="29" t="s">
        <v>1038</v>
      </c>
      <c r="C218" s="29" t="s">
        <v>1039</v>
      </c>
      <c r="D218" s="29" t="s">
        <v>1040</v>
      </c>
      <c r="F218" s="29" t="s">
        <v>1041</v>
      </c>
      <c r="G218" s="29">
        <v>8</v>
      </c>
      <c r="I218" s="29" t="s">
        <v>1042</v>
      </c>
      <c r="J218" s="29" t="s">
        <v>127</v>
      </c>
      <c r="K218" s="29" t="s">
        <v>128</v>
      </c>
      <c r="L218" s="29" t="s">
        <v>43</v>
      </c>
    </row>
    <row r="219" spans="2:12" ht="30">
      <c r="B219" s="29" t="s">
        <v>1043</v>
      </c>
      <c r="C219" s="29" t="s">
        <v>1044</v>
      </c>
      <c r="D219" s="29" t="s">
        <v>1045</v>
      </c>
      <c r="F219" s="29" t="s">
        <v>1046</v>
      </c>
      <c r="I219" s="29" t="s">
        <v>40</v>
      </c>
      <c r="J219" s="29" t="s">
        <v>1047</v>
      </c>
      <c r="K219" s="29" t="s">
        <v>1048</v>
      </c>
      <c r="L219" s="29" t="s">
        <v>43</v>
      </c>
    </row>
    <row r="220" spans="2:12">
      <c r="B220" s="29" t="s">
        <v>1049</v>
      </c>
      <c r="C220" s="29" t="s">
        <v>1050</v>
      </c>
      <c r="D220" s="29" t="s">
        <v>1051</v>
      </c>
      <c r="F220" s="29" t="s">
        <v>1052</v>
      </c>
      <c r="I220" s="29" t="s">
        <v>40</v>
      </c>
      <c r="J220" s="29" t="s">
        <v>127</v>
      </c>
      <c r="K220" s="29" t="s">
        <v>128</v>
      </c>
      <c r="L220" s="29" t="s">
        <v>43</v>
      </c>
    </row>
    <row r="221" spans="2:12">
      <c r="B221" s="29" t="s">
        <v>1053</v>
      </c>
      <c r="C221" s="29" t="s">
        <v>1054</v>
      </c>
      <c r="F221" s="29" t="s">
        <v>1055</v>
      </c>
      <c r="G221" s="29">
        <v>201</v>
      </c>
      <c r="I221" s="29" t="s">
        <v>55</v>
      </c>
      <c r="J221" s="29" t="s">
        <v>114</v>
      </c>
      <c r="K221" s="29" t="s">
        <v>115</v>
      </c>
      <c r="L221" s="29" t="s">
        <v>43</v>
      </c>
    </row>
    <row r="222" spans="2:12" ht="30">
      <c r="B222" s="29" t="s">
        <v>1056</v>
      </c>
      <c r="C222" s="29" t="s">
        <v>1057</v>
      </c>
      <c r="D222" s="29" t="s">
        <v>1058</v>
      </c>
      <c r="F222" s="29" t="s">
        <v>1059</v>
      </c>
      <c r="G222" s="29">
        <v>957</v>
      </c>
      <c r="I222" s="29" t="s">
        <v>55</v>
      </c>
      <c r="J222" s="29" t="s">
        <v>1060</v>
      </c>
      <c r="K222" s="29" t="s">
        <v>328</v>
      </c>
      <c r="L222" s="29" t="s">
        <v>43</v>
      </c>
    </row>
    <row r="223" spans="2:12">
      <c r="B223" s="29" t="s">
        <v>1061</v>
      </c>
      <c r="C223" s="29" t="s">
        <v>1062</v>
      </c>
      <c r="D223" s="29" t="s">
        <v>1063</v>
      </c>
      <c r="F223" s="29" t="s">
        <v>1064</v>
      </c>
      <c r="I223" s="29" t="s">
        <v>40</v>
      </c>
      <c r="J223" s="29" t="s">
        <v>1065</v>
      </c>
      <c r="K223" s="29" t="s">
        <v>1066</v>
      </c>
      <c r="L223" s="29" t="s">
        <v>43</v>
      </c>
    </row>
    <row r="224" spans="2:12" ht="30">
      <c r="B224" s="29" t="s">
        <v>1067</v>
      </c>
      <c r="C224" s="29" t="s">
        <v>1068</v>
      </c>
      <c r="D224" s="29" t="s">
        <v>1069</v>
      </c>
      <c r="F224" s="29" t="s">
        <v>1070</v>
      </c>
      <c r="G224" s="29">
        <v>243</v>
      </c>
      <c r="I224" s="29" t="s">
        <v>55</v>
      </c>
      <c r="J224" s="29" t="s">
        <v>103</v>
      </c>
      <c r="K224" s="29" t="s">
        <v>104</v>
      </c>
      <c r="L224" s="29" t="s">
        <v>43</v>
      </c>
    </row>
    <row r="225" spans="2:12">
      <c r="B225" s="29" t="s">
        <v>1071</v>
      </c>
      <c r="C225" s="29" t="s">
        <v>1072</v>
      </c>
      <c r="D225" s="29" t="s">
        <v>1073</v>
      </c>
      <c r="F225" s="29" t="s">
        <v>1074</v>
      </c>
      <c r="G225" s="29">
        <v>127</v>
      </c>
      <c r="I225" s="29" t="s">
        <v>426</v>
      </c>
      <c r="J225" s="29" t="s">
        <v>196</v>
      </c>
      <c r="K225" s="29" t="s">
        <v>197</v>
      </c>
      <c r="L225" s="29" t="s">
        <v>43</v>
      </c>
    </row>
    <row r="226" spans="2:12">
      <c r="B226" s="29" t="s">
        <v>1075</v>
      </c>
      <c r="C226" s="29" t="s">
        <v>1076</v>
      </c>
      <c r="D226" s="29" t="s">
        <v>1077</v>
      </c>
      <c r="F226" s="29" t="s">
        <v>1078</v>
      </c>
      <c r="G226" s="29">
        <v>54</v>
      </c>
      <c r="I226" s="29" t="s">
        <v>1079</v>
      </c>
      <c r="J226" s="29" t="s">
        <v>133</v>
      </c>
      <c r="K226" s="29" t="s">
        <v>134</v>
      </c>
      <c r="L226" s="29" t="s">
        <v>43</v>
      </c>
    </row>
    <row r="227" spans="2:12">
      <c r="B227" s="29" t="s">
        <v>1080</v>
      </c>
      <c r="C227" s="29" t="s">
        <v>1081</v>
      </c>
      <c r="D227" s="29" t="s">
        <v>1082</v>
      </c>
      <c r="F227" s="29" t="s">
        <v>881</v>
      </c>
      <c r="I227" s="29" t="s">
        <v>40</v>
      </c>
      <c r="J227" s="29" t="s">
        <v>127</v>
      </c>
      <c r="K227" s="29" t="s">
        <v>128</v>
      </c>
      <c r="L227" s="29" t="s">
        <v>43</v>
      </c>
    </row>
    <row r="228" spans="2:12">
      <c r="B228" s="29" t="s">
        <v>1083</v>
      </c>
      <c r="C228" s="29" t="s">
        <v>1084</v>
      </c>
      <c r="D228" s="29" t="s">
        <v>1085</v>
      </c>
      <c r="F228" s="29" t="s">
        <v>1086</v>
      </c>
      <c r="G228" s="29">
        <v>192</v>
      </c>
      <c r="I228" s="29" t="s">
        <v>55</v>
      </c>
      <c r="J228" s="29" t="s">
        <v>41</v>
      </c>
      <c r="K228" s="29" t="s">
        <v>42</v>
      </c>
      <c r="L228" s="29" t="s">
        <v>43</v>
      </c>
    </row>
    <row r="229" spans="2:12">
      <c r="B229" s="29" t="s">
        <v>1087</v>
      </c>
      <c r="C229" s="29" t="s">
        <v>1088</v>
      </c>
      <c r="D229" s="29" t="s">
        <v>217</v>
      </c>
      <c r="F229" s="29" t="s">
        <v>1089</v>
      </c>
      <c r="I229" s="29" t="s">
        <v>40</v>
      </c>
      <c r="J229" s="29" t="s">
        <v>41</v>
      </c>
      <c r="K229" s="29" t="s">
        <v>42</v>
      </c>
      <c r="L229" s="29" t="s">
        <v>43</v>
      </c>
    </row>
    <row r="230" spans="2:12">
      <c r="B230" s="29" t="s">
        <v>1090</v>
      </c>
      <c r="C230" s="29" t="s">
        <v>1091</v>
      </c>
      <c r="D230" s="29" t="s">
        <v>1092</v>
      </c>
      <c r="F230" s="29" t="s">
        <v>1093</v>
      </c>
      <c r="G230" s="29">
        <v>400</v>
      </c>
      <c r="I230" s="29" t="s">
        <v>1094</v>
      </c>
      <c r="J230" s="29" t="s">
        <v>41</v>
      </c>
      <c r="K230" s="29" t="s">
        <v>42</v>
      </c>
      <c r="L230" s="29" t="s">
        <v>43</v>
      </c>
    </row>
    <row r="231" spans="2:12">
      <c r="B231" s="29" t="s">
        <v>1095</v>
      </c>
      <c r="C231" s="29" t="s">
        <v>1096</v>
      </c>
      <c r="D231" s="29" t="s">
        <v>300</v>
      </c>
      <c r="F231" s="29" t="s">
        <v>1097</v>
      </c>
      <c r="G231" s="29">
        <v>1300</v>
      </c>
      <c r="I231" s="29" t="s">
        <v>1098</v>
      </c>
      <c r="J231" s="29" t="s">
        <v>303</v>
      </c>
      <c r="K231" s="29" t="s">
        <v>304</v>
      </c>
      <c r="L231" s="29" t="s">
        <v>43</v>
      </c>
    </row>
    <row r="232" spans="2:12" ht="30">
      <c r="B232" s="29" t="s">
        <v>1099</v>
      </c>
      <c r="C232" s="29" t="s">
        <v>1100</v>
      </c>
      <c r="D232" s="29" t="s">
        <v>1101</v>
      </c>
      <c r="F232" s="29" t="s">
        <v>1102</v>
      </c>
      <c r="G232" s="29">
        <v>255</v>
      </c>
      <c r="I232" s="29" t="s">
        <v>55</v>
      </c>
      <c r="J232" s="29" t="s">
        <v>41</v>
      </c>
      <c r="K232" s="29" t="s">
        <v>42</v>
      </c>
      <c r="L232" s="29" t="s">
        <v>43</v>
      </c>
    </row>
    <row r="233" spans="2:12">
      <c r="B233" s="29" t="s">
        <v>1103</v>
      </c>
      <c r="C233" s="29" t="s">
        <v>1104</v>
      </c>
      <c r="D233" s="29" t="s">
        <v>1105</v>
      </c>
      <c r="F233" s="29" t="s">
        <v>1106</v>
      </c>
      <c r="G233" s="29">
        <v>50</v>
      </c>
      <c r="I233" s="29" t="s">
        <v>55</v>
      </c>
      <c r="J233" s="29" t="s">
        <v>1107</v>
      </c>
      <c r="K233" s="29" t="s">
        <v>1108</v>
      </c>
      <c r="L233" s="29" t="s">
        <v>43</v>
      </c>
    </row>
    <row r="234" spans="2:12">
      <c r="B234" s="29" t="s">
        <v>1109</v>
      </c>
      <c r="C234" s="29" t="s">
        <v>1110</v>
      </c>
      <c r="D234" s="29" t="s">
        <v>1111</v>
      </c>
      <c r="F234" s="29" t="s">
        <v>1112</v>
      </c>
      <c r="G234" s="29">
        <v>151</v>
      </c>
      <c r="I234" s="29" t="s">
        <v>55</v>
      </c>
      <c r="J234" s="29" t="s">
        <v>41</v>
      </c>
      <c r="K234" s="29" t="s">
        <v>42</v>
      </c>
      <c r="L234" s="29" t="s">
        <v>43</v>
      </c>
    </row>
    <row r="235" spans="2:12" ht="30">
      <c r="B235" s="29" t="s">
        <v>1113</v>
      </c>
      <c r="C235" s="29" t="s">
        <v>1114</v>
      </c>
      <c r="D235" s="29" t="s">
        <v>1115</v>
      </c>
      <c r="F235" s="29" t="s">
        <v>1116</v>
      </c>
      <c r="I235" s="29" t="s">
        <v>40</v>
      </c>
      <c r="J235" s="29" t="s">
        <v>182</v>
      </c>
      <c r="K235" s="29" t="s">
        <v>183</v>
      </c>
      <c r="L235" s="29" t="s">
        <v>43</v>
      </c>
    </row>
    <row r="236" spans="2:12">
      <c r="B236" s="29" t="s">
        <v>1117</v>
      </c>
      <c r="C236" s="29" t="s">
        <v>1118</v>
      </c>
      <c r="D236" s="29" t="s">
        <v>1119</v>
      </c>
      <c r="F236" s="29" t="s">
        <v>1120</v>
      </c>
      <c r="G236" s="29">
        <v>1415</v>
      </c>
      <c r="I236" s="29" t="s">
        <v>55</v>
      </c>
      <c r="J236" s="29" t="s">
        <v>56</v>
      </c>
      <c r="K236" s="29" t="s">
        <v>57</v>
      </c>
      <c r="L236" s="29" t="s">
        <v>43</v>
      </c>
    </row>
    <row r="237" spans="2:12" ht="30">
      <c r="B237" s="29" t="s">
        <v>1121</v>
      </c>
      <c r="C237" s="29" t="s">
        <v>1122</v>
      </c>
      <c r="D237" s="29">
        <v>21396006</v>
      </c>
      <c r="F237" s="29" t="s">
        <v>1123</v>
      </c>
      <c r="G237" s="29">
        <v>4630</v>
      </c>
      <c r="H237" s="29" t="s">
        <v>1124</v>
      </c>
      <c r="I237" s="29" t="s">
        <v>1125</v>
      </c>
      <c r="J237" s="29" t="s">
        <v>1126</v>
      </c>
      <c r="K237" s="29" t="s">
        <v>1127</v>
      </c>
      <c r="L237" s="29" t="s">
        <v>97</v>
      </c>
    </row>
    <row r="238" spans="2:12" ht="30">
      <c r="B238" s="29" t="s">
        <v>1128</v>
      </c>
      <c r="C238" s="29" t="s">
        <v>1129</v>
      </c>
      <c r="D238" s="29">
        <v>0</v>
      </c>
      <c r="F238" s="29" t="s">
        <v>1123</v>
      </c>
      <c r="H238" s="29" t="s">
        <v>1130</v>
      </c>
      <c r="I238" s="29" t="s">
        <v>1125</v>
      </c>
      <c r="J238" s="29" t="s">
        <v>1126</v>
      </c>
      <c r="K238" s="29" t="s">
        <v>1127</v>
      </c>
      <c r="L238" s="29" t="s">
        <v>97</v>
      </c>
    </row>
    <row r="239" spans="2:12" ht="30">
      <c r="B239" s="29" t="s">
        <v>1131</v>
      </c>
      <c r="C239" s="29" t="s">
        <v>1132</v>
      </c>
      <c r="D239" s="29" t="s">
        <v>1133</v>
      </c>
      <c r="F239" s="29" t="s">
        <v>1134</v>
      </c>
      <c r="I239" s="29" t="s">
        <v>40</v>
      </c>
      <c r="J239" s="29" t="s">
        <v>139</v>
      </c>
      <c r="K239" s="29" t="s">
        <v>140</v>
      </c>
      <c r="L239" s="29" t="s">
        <v>43</v>
      </c>
    </row>
    <row r="240" spans="2:12">
      <c r="B240" s="29" t="s">
        <v>1135</v>
      </c>
      <c r="C240" s="29" t="s">
        <v>1136</v>
      </c>
      <c r="D240" s="29" t="s">
        <v>1137</v>
      </c>
      <c r="F240" s="29" t="s">
        <v>1138</v>
      </c>
      <c r="G240" s="29">
        <v>835</v>
      </c>
      <c r="I240" s="29" t="s">
        <v>1139</v>
      </c>
      <c r="J240" s="29" t="s">
        <v>1140</v>
      </c>
      <c r="K240" s="29" t="s">
        <v>937</v>
      </c>
      <c r="L240" s="29" t="s">
        <v>43</v>
      </c>
    </row>
    <row r="241" spans="2:12">
      <c r="B241" s="29" t="s">
        <v>1141</v>
      </c>
      <c r="C241" s="29" t="s">
        <v>1142</v>
      </c>
      <c r="D241" s="29" t="s">
        <v>1143</v>
      </c>
      <c r="F241" s="29" t="s">
        <v>1144</v>
      </c>
      <c r="I241" s="29" t="s">
        <v>40</v>
      </c>
      <c r="J241" s="29" t="s">
        <v>1145</v>
      </c>
      <c r="K241" s="29" t="s">
        <v>1146</v>
      </c>
      <c r="L241" s="29" t="s">
        <v>43</v>
      </c>
    </row>
    <row r="242" spans="2:12">
      <c r="B242" s="29" t="s">
        <v>1147</v>
      </c>
      <c r="C242" s="29" t="s">
        <v>1148</v>
      </c>
      <c r="D242" s="29" t="s">
        <v>1149</v>
      </c>
      <c r="F242" s="29" t="s">
        <v>1150</v>
      </c>
      <c r="G242" s="29">
        <v>94</v>
      </c>
      <c r="I242" s="29" t="s">
        <v>55</v>
      </c>
      <c r="J242" s="29" t="s">
        <v>114</v>
      </c>
      <c r="K242" s="29" t="s">
        <v>115</v>
      </c>
      <c r="L242" s="29" t="s">
        <v>43</v>
      </c>
    </row>
    <row r="243" spans="2:12">
      <c r="B243" s="29" t="s">
        <v>1151</v>
      </c>
      <c r="C243" s="29" t="s">
        <v>1152</v>
      </c>
      <c r="D243" s="29" t="s">
        <v>1153</v>
      </c>
      <c r="F243" s="29" t="s">
        <v>1154</v>
      </c>
      <c r="G243" s="29">
        <v>44</v>
      </c>
      <c r="I243" s="29" t="s">
        <v>1098</v>
      </c>
      <c r="J243" s="29" t="s">
        <v>942</v>
      </c>
      <c r="K243" s="29" t="s">
        <v>943</v>
      </c>
      <c r="L243" s="29" t="s">
        <v>43</v>
      </c>
    </row>
    <row r="244" spans="2:12" ht="30">
      <c r="B244" s="29" t="s">
        <v>1155</v>
      </c>
      <c r="C244" s="29" t="s">
        <v>1156</v>
      </c>
      <c r="D244" s="29" t="s">
        <v>1157</v>
      </c>
      <c r="F244" s="29" t="s">
        <v>1158</v>
      </c>
      <c r="I244" s="29" t="s">
        <v>1159</v>
      </c>
      <c r="J244" s="29" t="s">
        <v>1160</v>
      </c>
      <c r="K244" s="29" t="s">
        <v>1161</v>
      </c>
      <c r="L244" s="29" t="s">
        <v>43</v>
      </c>
    </row>
    <row r="245" spans="2:12" ht="30">
      <c r="B245" s="29" t="s">
        <v>1162</v>
      </c>
      <c r="C245" s="29" t="s">
        <v>1163</v>
      </c>
      <c r="D245" s="29" t="s">
        <v>1164</v>
      </c>
      <c r="F245" s="29" t="s">
        <v>1165</v>
      </c>
      <c r="G245" s="29">
        <v>649</v>
      </c>
      <c r="I245" s="29" t="s">
        <v>1166</v>
      </c>
      <c r="J245" s="29" t="s">
        <v>1167</v>
      </c>
      <c r="K245" s="29" t="s">
        <v>128</v>
      </c>
      <c r="L245" s="29" t="s">
        <v>43</v>
      </c>
    </row>
    <row r="246" spans="2:12" ht="30">
      <c r="B246" s="29" t="s">
        <v>1168</v>
      </c>
      <c r="C246" s="29" t="s">
        <v>1169</v>
      </c>
      <c r="F246" s="29" t="s">
        <v>1170</v>
      </c>
      <c r="G246" s="29">
        <v>5875</v>
      </c>
      <c r="I246" s="29" t="s">
        <v>816</v>
      </c>
      <c r="J246" s="29" t="s">
        <v>1171</v>
      </c>
      <c r="K246" s="29" t="s">
        <v>1172</v>
      </c>
      <c r="L246" s="29" t="s">
        <v>43</v>
      </c>
    </row>
    <row r="247" spans="2:12" ht="30">
      <c r="B247" s="29" t="s">
        <v>1173</v>
      </c>
      <c r="C247" s="29" t="s">
        <v>1174</v>
      </c>
      <c r="D247" s="29" t="s">
        <v>1175</v>
      </c>
      <c r="F247" s="29" t="s">
        <v>1176</v>
      </c>
      <c r="J247" s="29" t="s">
        <v>247</v>
      </c>
      <c r="K247" s="29" t="s">
        <v>248</v>
      </c>
      <c r="L247" s="29" t="s">
        <v>43</v>
      </c>
    </row>
    <row r="248" spans="2:12" ht="30">
      <c r="B248" s="29" t="s">
        <v>1177</v>
      </c>
      <c r="C248" s="29" t="s">
        <v>1178</v>
      </c>
      <c r="D248" s="29" t="s">
        <v>314</v>
      </c>
      <c r="F248" s="29" t="s">
        <v>1179</v>
      </c>
      <c r="G248" s="29">
        <v>289</v>
      </c>
      <c r="I248" s="29" t="s">
        <v>55</v>
      </c>
      <c r="J248" s="29" t="s">
        <v>271</v>
      </c>
      <c r="K248" s="29" t="s">
        <v>272</v>
      </c>
      <c r="L248" s="29" t="s">
        <v>43</v>
      </c>
    </row>
    <row r="249" spans="2:12">
      <c r="B249" s="29" t="s">
        <v>1180</v>
      </c>
      <c r="C249" s="29" t="s">
        <v>1181</v>
      </c>
      <c r="D249" s="29" t="s">
        <v>1182</v>
      </c>
      <c r="F249" s="29" t="s">
        <v>1183</v>
      </c>
      <c r="I249" s="29" t="s">
        <v>40</v>
      </c>
      <c r="J249" s="29" t="s">
        <v>41</v>
      </c>
      <c r="K249" s="29" t="s">
        <v>42</v>
      </c>
      <c r="L249" s="29" t="s">
        <v>43</v>
      </c>
    </row>
    <row r="250" spans="2:12">
      <c r="B250" s="29" t="s">
        <v>1184</v>
      </c>
      <c r="C250" s="29" t="s">
        <v>1185</v>
      </c>
      <c r="D250" s="29" t="s">
        <v>1186</v>
      </c>
      <c r="F250" s="29" t="s">
        <v>1187</v>
      </c>
      <c r="G250" s="29">
        <v>162</v>
      </c>
      <c r="I250" s="29" t="s">
        <v>1188</v>
      </c>
      <c r="J250" s="29" t="s">
        <v>1189</v>
      </c>
      <c r="K250" s="29" t="s">
        <v>1190</v>
      </c>
      <c r="L250" s="29" t="s">
        <v>43</v>
      </c>
    </row>
    <row r="251" spans="2:12">
      <c r="B251" s="29" t="s">
        <v>1191</v>
      </c>
      <c r="C251" s="29" t="s">
        <v>1192</v>
      </c>
      <c r="D251" s="29" t="s">
        <v>217</v>
      </c>
      <c r="F251" s="29" t="s">
        <v>1193</v>
      </c>
      <c r="G251" s="29">
        <v>230</v>
      </c>
      <c r="I251" s="29" t="s">
        <v>55</v>
      </c>
      <c r="J251" s="29" t="s">
        <v>41</v>
      </c>
      <c r="K251" s="29" t="s">
        <v>42</v>
      </c>
      <c r="L251" s="29" t="s">
        <v>43</v>
      </c>
    </row>
    <row r="252" spans="2:12">
      <c r="B252" s="29" t="s">
        <v>1194</v>
      </c>
      <c r="C252" s="29" t="s">
        <v>1195</v>
      </c>
      <c r="D252" s="29" t="s">
        <v>929</v>
      </c>
      <c r="F252" s="29" t="s">
        <v>1196</v>
      </c>
      <c r="G252" s="29">
        <v>181</v>
      </c>
      <c r="I252" s="29" t="s">
        <v>55</v>
      </c>
      <c r="J252" s="29" t="s">
        <v>41</v>
      </c>
      <c r="K252" s="29" t="s">
        <v>42</v>
      </c>
      <c r="L252" s="29" t="s">
        <v>43</v>
      </c>
    </row>
  </sheetData>
  <mergeCells count="1">
    <mergeCell ref="A1:O1"/>
  </mergeCells>
  <phoneticPr fontId="4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azendas"/>
  <dimension ref="A1:N4"/>
  <sheetViews>
    <sheetView workbookViewId="0">
      <selection activeCell="N3" sqref="N3"/>
    </sheetView>
  </sheetViews>
  <sheetFormatPr defaultRowHeight="15"/>
  <cols>
    <col min="2" max="2" width="21.7109375" bestFit="1" customWidth="1"/>
    <col min="3" max="3" width="13.28515625" bestFit="1" customWidth="1"/>
    <col min="4" max="4" width="16.28515625" customWidth="1"/>
    <col min="5" max="5" width="21.5703125" bestFit="1" customWidth="1"/>
    <col min="6" max="6" width="12.7109375" customWidth="1"/>
    <col min="7" max="7" width="10.28515625" customWidth="1"/>
    <col min="8" max="8" width="17.5703125" bestFit="1" customWidth="1"/>
    <col min="9" max="9" width="16.42578125" customWidth="1"/>
    <col min="10" max="12" width="10.42578125" customWidth="1"/>
    <col min="13" max="13" width="11.85546875" bestFit="1" customWidth="1"/>
    <col min="14" max="14" width="12.42578125" bestFit="1" customWidth="1"/>
  </cols>
  <sheetData>
    <row r="1" spans="1:14" ht="18.75">
      <c r="A1" s="36" t="s">
        <v>1197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1:14">
      <c r="A2" s="2" t="s">
        <v>1</v>
      </c>
      <c r="B2" s="2" t="s">
        <v>14</v>
      </c>
      <c r="C2" s="2" t="s">
        <v>25</v>
      </c>
      <c r="D2" s="2" t="s">
        <v>15</v>
      </c>
      <c r="E2" s="2" t="s">
        <v>1198</v>
      </c>
      <c r="F2" s="2" t="s">
        <v>26</v>
      </c>
      <c r="G2" s="2" t="s">
        <v>27</v>
      </c>
      <c r="H2" s="2" t="s">
        <v>28</v>
      </c>
      <c r="I2" s="2" t="s">
        <v>29</v>
      </c>
      <c r="J2" s="2" t="s">
        <v>30</v>
      </c>
      <c r="K2" s="2" t="s">
        <v>31</v>
      </c>
      <c r="L2" s="2" t="s">
        <v>32</v>
      </c>
      <c r="M2" s="2" t="s">
        <v>34</v>
      </c>
      <c r="N2" s="15" t="s">
        <v>7</v>
      </c>
    </row>
    <row r="3" spans="1:14">
      <c r="A3">
        <v>1</v>
      </c>
      <c r="B3" t="s">
        <v>1199</v>
      </c>
      <c r="C3" t="e">
        <f>'CLIENTES'!#REF!</f>
        <v>#REF!</v>
      </c>
      <c r="D3" t="s">
        <v>1200</v>
      </c>
      <c r="E3" t="s">
        <v>1201</v>
      </c>
      <c r="J3" t="e">
        <f>'CLIENTES'!#REF!</f>
        <v>#REF!</v>
      </c>
      <c r="K3" t="e">
        <f>'CLIENTES'!#REF!</f>
        <v>#REF!</v>
      </c>
      <c r="L3" t="s">
        <v>43</v>
      </c>
      <c r="N3" s="16" t="b">
        <v>1</v>
      </c>
    </row>
    <row r="4" spans="1:14">
      <c r="A4">
        <v>2</v>
      </c>
      <c r="C4">
        <f>'CLIENTES'!E3</f>
        <v>0</v>
      </c>
      <c r="D4" t="s">
        <v>1202</v>
      </c>
      <c r="E4" t="s">
        <v>1203</v>
      </c>
      <c r="J4" t="str">
        <f>'CLIENTES'!J3</f>
        <v>37170-000</v>
      </c>
      <c r="K4" t="str">
        <f>'CLIENTES'!K3</f>
        <v>BOA ESPERANÇA</v>
      </c>
      <c r="L4" t="s">
        <v>43</v>
      </c>
      <c r="N4" s="16" t="b">
        <v>1</v>
      </c>
    </row>
  </sheetData>
  <mergeCells count="1">
    <mergeCell ref="A1:M1"/>
  </mergeCells>
  <phoneticPr fontId="4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culturas"/>
  <dimension ref="A1:C7"/>
  <sheetViews>
    <sheetView showGridLines="0" workbookViewId="0">
      <selection activeCell="D14" sqref="D14"/>
    </sheetView>
  </sheetViews>
  <sheetFormatPr defaultRowHeight="15"/>
  <cols>
    <col min="1" max="1" width="9.28515625" customWidth="1"/>
    <col min="2" max="2" width="20.28515625" bestFit="1" customWidth="1"/>
    <col min="3" max="3" width="12.42578125" bestFit="1" customWidth="1"/>
  </cols>
  <sheetData>
    <row r="1" spans="1:3" ht="18.75">
      <c r="A1" s="36" t="s">
        <v>1204</v>
      </c>
      <c r="B1" s="36"/>
    </row>
    <row r="2" spans="1:3" s="2" customFormat="1">
      <c r="A2" s="2" t="s">
        <v>1</v>
      </c>
      <c r="B2" s="2" t="s">
        <v>14</v>
      </c>
      <c r="C2" s="2" t="s">
        <v>7</v>
      </c>
    </row>
    <row r="3" spans="1:3">
      <c r="A3">
        <v>1</v>
      </c>
      <c r="B3" t="s">
        <v>1205</v>
      </c>
      <c r="C3" s="16" t="b">
        <v>1</v>
      </c>
    </row>
    <row r="4" spans="1:3">
      <c r="A4">
        <v>2</v>
      </c>
      <c r="B4" t="s">
        <v>1206</v>
      </c>
      <c r="C4" s="16" t="b">
        <v>1</v>
      </c>
    </row>
    <row r="5" spans="1:3">
      <c r="A5">
        <v>3</v>
      </c>
      <c r="B5" t="s">
        <v>1207</v>
      </c>
      <c r="C5" s="16" t="b">
        <v>1</v>
      </c>
    </row>
    <row r="6" spans="1:3">
      <c r="A6">
        <v>4</v>
      </c>
      <c r="B6" t="s">
        <v>1208</v>
      </c>
      <c r="C6" s="16" t="b">
        <v>1</v>
      </c>
    </row>
    <row r="7" spans="1:3">
      <c r="A7">
        <v>5</v>
      </c>
      <c r="B7" t="s">
        <v>1209</v>
      </c>
      <c r="C7" s="16" t="b">
        <v>1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equipamentos"/>
  <dimension ref="A1:M5"/>
  <sheetViews>
    <sheetView workbookViewId="0">
      <selection activeCell="P8" sqref="P8"/>
    </sheetView>
  </sheetViews>
  <sheetFormatPr defaultRowHeight="15"/>
  <cols>
    <col min="2" max="3" width="17.28515625" bestFit="1" customWidth="1"/>
    <col min="4" max="4" width="14.7109375" bestFit="1" customWidth="1"/>
    <col min="5" max="5" width="15.140625" bestFit="1" customWidth="1"/>
    <col min="6" max="6" width="14.42578125" customWidth="1"/>
    <col min="7" max="7" width="13.42578125" bestFit="1" customWidth="1"/>
    <col min="8" max="8" width="15.42578125" bestFit="1" customWidth="1"/>
    <col min="9" max="9" width="15.85546875" bestFit="1" customWidth="1"/>
    <col min="10" max="10" width="12.140625" bestFit="1" customWidth="1"/>
    <col min="11" max="11" width="14.7109375" bestFit="1" customWidth="1"/>
    <col min="12" max="12" width="16.140625" bestFit="1" customWidth="1"/>
    <col min="13" max="13" width="12.42578125" bestFit="1" customWidth="1"/>
  </cols>
  <sheetData>
    <row r="1" spans="1:13" ht="18.75">
      <c r="A1" s="36" t="s">
        <v>1210</v>
      </c>
      <c r="B1" s="36"/>
      <c r="C1" s="36"/>
      <c r="D1" s="36"/>
      <c r="E1" s="36"/>
      <c r="F1" s="36"/>
      <c r="G1" s="36"/>
      <c r="H1" s="4"/>
    </row>
    <row r="2" spans="1:13">
      <c r="A2" s="2" t="s">
        <v>1</v>
      </c>
      <c r="B2" s="2" t="s">
        <v>3</v>
      </c>
      <c r="C2" s="2" t="s">
        <v>1211</v>
      </c>
      <c r="D2" s="2" t="s">
        <v>1212</v>
      </c>
      <c r="E2" s="2" t="s">
        <v>1213</v>
      </c>
      <c r="F2" s="2" t="s">
        <v>1214</v>
      </c>
      <c r="G2" s="2" t="s">
        <v>1215</v>
      </c>
      <c r="H2" s="2" t="s">
        <v>1216</v>
      </c>
      <c r="I2" s="2" t="s">
        <v>1217</v>
      </c>
      <c r="J2" s="2" t="s">
        <v>1218</v>
      </c>
      <c r="K2" s="2" t="s">
        <v>1219</v>
      </c>
      <c r="L2" s="2" t="s">
        <v>1220</v>
      </c>
      <c r="M2" s="2" t="s">
        <v>7</v>
      </c>
    </row>
    <row r="3" spans="1:13">
      <c r="A3">
        <v>1</v>
      </c>
      <c r="B3" t="s">
        <v>1221</v>
      </c>
      <c r="C3" s="11" t="s">
        <v>1222</v>
      </c>
      <c r="K3" t="b">
        <v>0</v>
      </c>
      <c r="L3" t="b">
        <v>1</v>
      </c>
      <c r="M3" t="b">
        <v>1</v>
      </c>
    </row>
    <row r="4" spans="1:13">
      <c r="A4">
        <v>2</v>
      </c>
      <c r="B4" t="s">
        <v>1223</v>
      </c>
      <c r="C4" s="11" t="s">
        <v>1224</v>
      </c>
      <c r="K4" t="b">
        <v>1</v>
      </c>
      <c r="L4" t="b">
        <v>0</v>
      </c>
      <c r="M4" t="b">
        <v>0</v>
      </c>
    </row>
    <row r="5" spans="1:13">
      <c r="A5">
        <v>3</v>
      </c>
      <c r="B5" t="s">
        <v>1225</v>
      </c>
      <c r="C5" s="12" t="s">
        <v>1226</v>
      </c>
      <c r="K5" t="b">
        <v>1</v>
      </c>
      <c r="L5" t="b">
        <v>1</v>
      </c>
      <c r="M5" t="b">
        <v>1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rnec"/>
  <dimension ref="A1:O5"/>
  <sheetViews>
    <sheetView workbookViewId="0">
      <selection activeCell="N8" sqref="N8"/>
    </sheetView>
  </sheetViews>
  <sheetFormatPr defaultRowHeight="15"/>
  <cols>
    <col min="2" max="2" width="27" bestFit="1" customWidth="1"/>
    <col min="3" max="3" width="18" bestFit="1" customWidth="1"/>
    <col min="4" max="4" width="14.7109375" bestFit="1" customWidth="1"/>
    <col min="5" max="5" width="12" bestFit="1" customWidth="1"/>
    <col min="6" max="6" width="27.140625" bestFit="1" customWidth="1"/>
    <col min="7" max="7" width="8" bestFit="1" customWidth="1"/>
    <col min="8" max="8" width="17.5703125" bestFit="1" customWidth="1"/>
    <col min="9" max="9" width="23.7109375" bestFit="1" customWidth="1"/>
    <col min="10" max="10" width="9.7109375" bestFit="1" customWidth="1"/>
    <col min="11" max="11" width="9.85546875" bestFit="1" customWidth="1"/>
    <col min="12" max="12" width="5.7109375" bestFit="1" customWidth="1"/>
    <col min="13" max="13" width="12.140625" style="13" bestFit="1" customWidth="1"/>
    <col min="14" max="14" width="11.85546875" style="5" bestFit="1" customWidth="1"/>
    <col min="15" max="15" width="12.42578125" bestFit="1" customWidth="1"/>
  </cols>
  <sheetData>
    <row r="1" spans="1:15" ht="18.75">
      <c r="A1" s="36" t="s">
        <v>1227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1:15">
      <c r="A2" s="2" t="s">
        <v>1228</v>
      </c>
      <c r="B2" s="2" t="s">
        <v>14</v>
      </c>
      <c r="C2" s="2" t="s">
        <v>1229</v>
      </c>
      <c r="D2" s="2" t="s">
        <v>24</v>
      </c>
      <c r="E2" s="2" t="s">
        <v>25</v>
      </c>
      <c r="F2" s="2" t="s">
        <v>26</v>
      </c>
      <c r="G2" s="2" t="s">
        <v>27</v>
      </c>
      <c r="H2" s="2" t="s">
        <v>28</v>
      </c>
      <c r="I2" s="2" t="s">
        <v>29</v>
      </c>
      <c r="J2" s="2" t="s">
        <v>30</v>
      </c>
      <c r="K2" s="2" t="s">
        <v>31</v>
      </c>
      <c r="L2" s="2" t="s">
        <v>32</v>
      </c>
      <c r="M2" s="18" t="s">
        <v>33</v>
      </c>
      <c r="N2" s="17" t="s">
        <v>34</v>
      </c>
      <c r="O2" s="2" t="s">
        <v>7</v>
      </c>
    </row>
    <row r="3" spans="1:15">
      <c r="A3">
        <v>1</v>
      </c>
      <c r="B3" t="s">
        <v>1230</v>
      </c>
      <c r="C3" t="s">
        <v>1231</v>
      </c>
      <c r="D3" t="s">
        <v>1232</v>
      </c>
      <c r="F3" t="s">
        <v>1233</v>
      </c>
      <c r="G3">
        <v>607</v>
      </c>
      <c r="I3" t="s">
        <v>1234</v>
      </c>
      <c r="J3" t="s">
        <v>1235</v>
      </c>
      <c r="K3" t="s">
        <v>1236</v>
      </c>
      <c r="L3" t="s">
        <v>43</v>
      </c>
      <c r="M3" s="13">
        <v>0</v>
      </c>
      <c r="N3" s="5">
        <v>44562</v>
      </c>
      <c r="O3" t="b">
        <v>1</v>
      </c>
    </row>
    <row r="4" spans="1:15">
      <c r="A4">
        <v>2</v>
      </c>
      <c r="B4" t="s">
        <v>1237</v>
      </c>
      <c r="C4" t="s">
        <v>1238</v>
      </c>
      <c r="D4" t="s">
        <v>1239</v>
      </c>
      <c r="F4" t="s">
        <v>1233</v>
      </c>
      <c r="G4">
        <v>679</v>
      </c>
      <c r="I4" t="s">
        <v>1234</v>
      </c>
      <c r="J4" t="s">
        <v>1235</v>
      </c>
      <c r="K4" t="s">
        <v>1236</v>
      </c>
      <c r="L4" t="s">
        <v>43</v>
      </c>
      <c r="M4" s="13">
        <v>1000</v>
      </c>
      <c r="N4" s="5">
        <v>44562</v>
      </c>
      <c r="O4" t="b">
        <v>1</v>
      </c>
    </row>
    <row r="5" spans="1:15">
      <c r="A5">
        <v>3</v>
      </c>
      <c r="B5" t="s">
        <v>1240</v>
      </c>
      <c r="C5" t="s">
        <v>1241</v>
      </c>
      <c r="D5" t="s">
        <v>1242</v>
      </c>
      <c r="F5" t="s">
        <v>1243</v>
      </c>
      <c r="G5">
        <v>1336</v>
      </c>
      <c r="I5" t="s">
        <v>1244</v>
      </c>
      <c r="J5" t="s">
        <v>1245</v>
      </c>
      <c r="K5" t="s">
        <v>1246</v>
      </c>
      <c r="L5" t="s">
        <v>1247</v>
      </c>
      <c r="M5" s="13">
        <v>0</v>
      </c>
      <c r="N5" s="5">
        <v>44562</v>
      </c>
      <c r="O5" t="b">
        <v>1</v>
      </c>
    </row>
  </sheetData>
  <mergeCells count="1">
    <mergeCell ref="A1:M1"/>
  </mergeCells>
  <phoneticPr fontId="4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arceiros"/>
  <dimension ref="A1:C5"/>
  <sheetViews>
    <sheetView workbookViewId="0">
      <selection activeCell="D10" sqref="D10"/>
    </sheetView>
  </sheetViews>
  <sheetFormatPr defaultRowHeight="15"/>
  <cols>
    <col min="1" max="1" width="7.140625" customWidth="1"/>
    <col min="2" max="2" width="12.5703125" customWidth="1"/>
    <col min="3" max="3" width="12.42578125" bestFit="1" customWidth="1"/>
  </cols>
  <sheetData>
    <row r="1" spans="1:3" ht="18.75">
      <c r="A1" s="36" t="s">
        <v>1248</v>
      </c>
      <c r="B1" s="36"/>
    </row>
    <row r="2" spans="1:3">
      <c r="A2" s="2" t="s">
        <v>1</v>
      </c>
      <c r="B2" s="2" t="s">
        <v>14</v>
      </c>
      <c r="C2" s="2" t="s">
        <v>7</v>
      </c>
    </row>
    <row r="3" spans="1:3">
      <c r="A3">
        <v>1</v>
      </c>
      <c r="B3" t="s">
        <v>1249</v>
      </c>
      <c r="C3" t="b">
        <v>1</v>
      </c>
    </row>
    <row r="4" spans="1:3">
      <c r="A4">
        <v>2</v>
      </c>
      <c r="B4" t="s">
        <v>1250</v>
      </c>
      <c r="C4" t="b">
        <v>1</v>
      </c>
    </row>
    <row r="5" spans="1:3">
      <c r="A5">
        <v>3</v>
      </c>
      <c r="B5" t="s">
        <v>1251</v>
      </c>
      <c r="C5" t="b">
        <v>1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unc"/>
  <dimension ref="A1:Q19"/>
  <sheetViews>
    <sheetView showGridLines="0" workbookViewId="0">
      <selection activeCell="K2" sqref="K2:Q2"/>
    </sheetView>
  </sheetViews>
  <sheetFormatPr defaultRowHeight="15"/>
  <cols>
    <col min="2" max="2" width="30.28515625" bestFit="1" customWidth="1"/>
    <col min="3" max="3" width="14.42578125" bestFit="1" customWidth="1"/>
    <col min="4" max="5" width="14.42578125" customWidth="1"/>
    <col min="6" max="6" width="23" bestFit="1" customWidth="1"/>
    <col min="7" max="7" width="14" bestFit="1" customWidth="1"/>
    <col min="8" max="8" width="13.28515625" customWidth="1"/>
    <col min="9" max="9" width="27.42578125" customWidth="1"/>
    <col min="10" max="10" width="8" bestFit="1" customWidth="1"/>
    <col min="11" max="11" width="17.5703125" bestFit="1" customWidth="1"/>
    <col min="12" max="12" width="24.5703125" bestFit="1" customWidth="1"/>
    <col min="13" max="13" width="16.28515625" customWidth="1"/>
    <col min="14" max="14" width="11.140625" customWidth="1"/>
    <col min="16" max="16" width="11.85546875" bestFit="1" customWidth="1"/>
    <col min="17" max="17" width="12.42578125" bestFit="1" customWidth="1"/>
  </cols>
  <sheetData>
    <row r="1" spans="1:17" ht="18.75">
      <c r="A1" s="36" t="s">
        <v>1252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7">
      <c r="A2" s="2" t="s">
        <v>1</v>
      </c>
      <c r="B2" s="2" t="s">
        <v>14</v>
      </c>
      <c r="C2" s="2" t="s">
        <v>23</v>
      </c>
      <c r="D2" s="2" t="s">
        <v>24</v>
      </c>
      <c r="E2" s="2" t="s">
        <v>25</v>
      </c>
      <c r="F2" s="2" t="s">
        <v>1253</v>
      </c>
      <c r="G2" s="2" t="s">
        <v>1254</v>
      </c>
      <c r="H2" s="20" t="s">
        <v>1255</v>
      </c>
      <c r="I2" s="2" t="s">
        <v>26</v>
      </c>
      <c r="J2" s="2" t="s">
        <v>27</v>
      </c>
      <c r="K2" s="2" t="s">
        <v>28</v>
      </c>
      <c r="L2" s="2" t="s">
        <v>29</v>
      </c>
      <c r="M2" s="2" t="s">
        <v>30</v>
      </c>
      <c r="N2" s="2" t="s">
        <v>31</v>
      </c>
      <c r="O2" s="2" t="s">
        <v>32</v>
      </c>
      <c r="P2" s="2" t="s">
        <v>34</v>
      </c>
      <c r="Q2" s="2" t="s">
        <v>7</v>
      </c>
    </row>
    <row r="3" spans="1:17">
      <c r="A3">
        <v>1</v>
      </c>
      <c r="B3" t="s">
        <v>1256</v>
      </c>
      <c r="C3" t="s">
        <v>1257</v>
      </c>
      <c r="D3" t="s">
        <v>1258</v>
      </c>
      <c r="F3" t="s">
        <v>1259</v>
      </c>
      <c r="G3" t="s">
        <v>1260</v>
      </c>
      <c r="H3" s="21">
        <v>2700</v>
      </c>
      <c r="I3" t="s">
        <v>1261</v>
      </c>
      <c r="J3">
        <v>250</v>
      </c>
      <c r="L3" t="s">
        <v>1262</v>
      </c>
      <c r="N3" t="s">
        <v>1236</v>
      </c>
      <c r="O3" t="s">
        <v>43</v>
      </c>
      <c r="Q3" s="19" t="b">
        <v>1</v>
      </c>
    </row>
    <row r="4" spans="1:17">
      <c r="A4">
        <v>2</v>
      </c>
      <c r="B4" t="s">
        <v>1263</v>
      </c>
      <c r="C4" t="s">
        <v>1264</v>
      </c>
      <c r="D4" t="s">
        <v>1265</v>
      </c>
      <c r="F4" t="s">
        <v>1266</v>
      </c>
      <c r="G4" t="s">
        <v>1260</v>
      </c>
      <c r="H4" s="21">
        <v>2250</v>
      </c>
      <c r="I4" t="s">
        <v>1267</v>
      </c>
      <c r="J4">
        <v>120</v>
      </c>
      <c r="L4" t="s">
        <v>1268</v>
      </c>
      <c r="N4" t="s">
        <v>1269</v>
      </c>
      <c r="O4" t="s">
        <v>43</v>
      </c>
      <c r="Q4" s="19" t="b">
        <v>1</v>
      </c>
    </row>
    <row r="5" spans="1:17">
      <c r="A5">
        <v>3</v>
      </c>
      <c r="B5" t="s">
        <v>1270</v>
      </c>
      <c r="C5" t="s">
        <v>1271</v>
      </c>
      <c r="D5" t="s">
        <v>1272</v>
      </c>
      <c r="F5" t="s">
        <v>1273</v>
      </c>
      <c r="G5" t="s">
        <v>1260</v>
      </c>
      <c r="H5" s="21">
        <v>2200</v>
      </c>
      <c r="I5" t="s">
        <v>1274</v>
      </c>
      <c r="J5">
        <v>331</v>
      </c>
      <c r="L5" t="s">
        <v>1275</v>
      </c>
      <c r="N5" t="s">
        <v>1236</v>
      </c>
      <c r="O5" t="s">
        <v>43</v>
      </c>
      <c r="Q5" s="19" t="b">
        <v>1</v>
      </c>
    </row>
    <row r="6" spans="1:17">
      <c r="A6">
        <v>4</v>
      </c>
      <c r="B6" t="s">
        <v>1276</v>
      </c>
      <c r="C6" t="s">
        <v>1277</v>
      </c>
      <c r="D6" t="s">
        <v>1278</v>
      </c>
      <c r="F6" t="s">
        <v>1279</v>
      </c>
      <c r="G6" t="s">
        <v>1260</v>
      </c>
      <c r="H6" s="21">
        <v>2000</v>
      </c>
      <c r="I6" t="s">
        <v>1280</v>
      </c>
      <c r="J6">
        <v>137</v>
      </c>
      <c r="L6" t="s">
        <v>1281</v>
      </c>
      <c r="N6" t="s">
        <v>1236</v>
      </c>
      <c r="O6" t="s">
        <v>43</v>
      </c>
      <c r="Q6" s="19" t="b">
        <v>1</v>
      </c>
    </row>
    <row r="7" spans="1:17">
      <c r="A7">
        <v>5</v>
      </c>
      <c r="B7" t="s">
        <v>1282</v>
      </c>
      <c r="C7" t="s">
        <v>1283</v>
      </c>
      <c r="D7" t="s">
        <v>1284</v>
      </c>
      <c r="F7" t="s">
        <v>1285</v>
      </c>
      <c r="G7" t="s">
        <v>1260</v>
      </c>
      <c r="H7" s="21">
        <v>1500</v>
      </c>
      <c r="I7" t="s">
        <v>1286</v>
      </c>
      <c r="J7">
        <v>103</v>
      </c>
      <c r="L7" t="s">
        <v>1287</v>
      </c>
      <c r="N7" t="s">
        <v>1236</v>
      </c>
      <c r="O7" t="s">
        <v>43</v>
      </c>
      <c r="Q7" s="19" t="b">
        <v>1</v>
      </c>
    </row>
    <row r="8" spans="1:17">
      <c r="A8">
        <v>6</v>
      </c>
      <c r="B8" t="s">
        <v>1288</v>
      </c>
      <c r="C8" t="s">
        <v>1289</v>
      </c>
      <c r="D8" t="s">
        <v>1290</v>
      </c>
      <c r="F8" t="s">
        <v>1279</v>
      </c>
      <c r="G8" t="s">
        <v>1260</v>
      </c>
      <c r="H8" s="21">
        <v>1800</v>
      </c>
      <c r="I8" t="s">
        <v>1291</v>
      </c>
      <c r="J8">
        <v>680</v>
      </c>
      <c r="N8" t="s">
        <v>1269</v>
      </c>
      <c r="O8" t="s">
        <v>43</v>
      </c>
      <c r="Q8" s="19" t="b">
        <v>1</v>
      </c>
    </row>
    <row r="9" spans="1:17">
      <c r="A9">
        <v>7</v>
      </c>
      <c r="B9" t="s">
        <v>1292</v>
      </c>
      <c r="C9" t="s">
        <v>1293</v>
      </c>
      <c r="D9" t="s">
        <v>1294</v>
      </c>
      <c r="F9" t="s">
        <v>1273</v>
      </c>
      <c r="G9" t="s">
        <v>1260</v>
      </c>
      <c r="H9" s="21">
        <v>1700</v>
      </c>
      <c r="I9" t="s">
        <v>1295</v>
      </c>
      <c r="J9">
        <v>365</v>
      </c>
      <c r="L9" t="s">
        <v>1296</v>
      </c>
      <c r="N9" t="s">
        <v>1236</v>
      </c>
      <c r="O9" t="s">
        <v>43</v>
      </c>
      <c r="Q9" s="19" t="b">
        <v>1</v>
      </c>
    </row>
    <row r="10" spans="1:17">
      <c r="A10">
        <v>8</v>
      </c>
      <c r="B10" t="s">
        <v>1297</v>
      </c>
      <c r="C10" t="s">
        <v>1298</v>
      </c>
      <c r="D10" t="s">
        <v>1299</v>
      </c>
      <c r="F10" t="s">
        <v>1273</v>
      </c>
      <c r="G10" t="s">
        <v>1260</v>
      </c>
      <c r="H10" s="21">
        <v>2000</v>
      </c>
      <c r="I10" t="s">
        <v>1300</v>
      </c>
      <c r="J10">
        <v>551</v>
      </c>
      <c r="L10" t="s">
        <v>1301</v>
      </c>
      <c r="N10" t="s">
        <v>1236</v>
      </c>
      <c r="O10" t="s">
        <v>43</v>
      </c>
      <c r="Q10" s="19" t="b">
        <v>1</v>
      </c>
    </row>
    <row r="11" spans="1:17">
      <c r="A11">
        <v>9</v>
      </c>
      <c r="B11" t="s">
        <v>1302</v>
      </c>
      <c r="C11" t="s">
        <v>1303</v>
      </c>
      <c r="D11" t="s">
        <v>1304</v>
      </c>
      <c r="F11" t="s">
        <v>1285</v>
      </c>
      <c r="G11" t="s">
        <v>1260</v>
      </c>
      <c r="H11" s="21">
        <v>1600</v>
      </c>
      <c r="I11" t="s">
        <v>1305</v>
      </c>
      <c r="J11">
        <v>61</v>
      </c>
      <c r="L11" t="s">
        <v>1306</v>
      </c>
      <c r="N11" t="s">
        <v>1236</v>
      </c>
      <c r="O11" t="s">
        <v>43</v>
      </c>
      <c r="Q11" s="19" t="b">
        <v>1</v>
      </c>
    </row>
    <row r="12" spans="1:17">
      <c r="A12">
        <v>10</v>
      </c>
      <c r="B12" t="s">
        <v>1307</v>
      </c>
      <c r="C12" t="s">
        <v>1308</v>
      </c>
      <c r="D12" t="s">
        <v>1309</v>
      </c>
      <c r="F12" t="s">
        <v>1273</v>
      </c>
      <c r="G12" t="s">
        <v>1310</v>
      </c>
      <c r="H12" s="21">
        <v>1400</v>
      </c>
      <c r="I12" t="s">
        <v>1311</v>
      </c>
      <c r="J12">
        <v>385</v>
      </c>
      <c r="L12" t="s">
        <v>1262</v>
      </c>
      <c r="N12" t="s">
        <v>1236</v>
      </c>
      <c r="O12" t="s">
        <v>43</v>
      </c>
      <c r="Q12" s="19" t="b">
        <v>1</v>
      </c>
    </row>
    <row r="13" spans="1:17">
      <c r="A13">
        <v>11</v>
      </c>
      <c r="B13" t="s">
        <v>1312</v>
      </c>
      <c r="C13" t="s">
        <v>1313</v>
      </c>
      <c r="D13" t="s">
        <v>1314</v>
      </c>
      <c r="F13" t="s">
        <v>1315</v>
      </c>
      <c r="G13" t="s">
        <v>1260</v>
      </c>
      <c r="H13" s="21">
        <v>2250</v>
      </c>
      <c r="I13" t="s">
        <v>1316</v>
      </c>
      <c r="J13">
        <v>59</v>
      </c>
      <c r="L13" t="s">
        <v>1317</v>
      </c>
      <c r="N13" t="s">
        <v>1236</v>
      </c>
      <c r="O13" t="s">
        <v>43</v>
      </c>
      <c r="Q13" s="19" t="b">
        <v>1</v>
      </c>
    </row>
    <row r="14" spans="1:17">
      <c r="A14">
        <v>12</v>
      </c>
      <c r="B14" t="s">
        <v>1318</v>
      </c>
      <c r="F14" t="s">
        <v>1279</v>
      </c>
      <c r="G14" t="s">
        <v>1260</v>
      </c>
      <c r="H14" s="21">
        <v>1800</v>
      </c>
      <c r="N14" t="s">
        <v>1269</v>
      </c>
      <c r="O14" t="s">
        <v>43</v>
      </c>
      <c r="Q14" s="19" t="b">
        <v>1</v>
      </c>
    </row>
    <row r="15" spans="1:17">
      <c r="A15">
        <v>13</v>
      </c>
      <c r="B15" t="s">
        <v>1319</v>
      </c>
      <c r="C15" t="s">
        <v>1320</v>
      </c>
      <c r="D15" t="s">
        <v>1321</v>
      </c>
      <c r="F15" t="s">
        <v>1322</v>
      </c>
      <c r="G15" t="s">
        <v>1260</v>
      </c>
      <c r="H15" s="21">
        <v>1400</v>
      </c>
      <c r="I15" t="s">
        <v>1323</v>
      </c>
      <c r="J15">
        <v>1011</v>
      </c>
      <c r="L15" t="s">
        <v>1324</v>
      </c>
      <c r="N15" t="s">
        <v>1236</v>
      </c>
      <c r="O15" t="s">
        <v>43</v>
      </c>
      <c r="Q15" s="19" t="b">
        <v>1</v>
      </c>
    </row>
    <row r="16" spans="1:17">
      <c r="A16">
        <v>14</v>
      </c>
      <c r="B16" t="s">
        <v>1325</v>
      </c>
      <c r="C16" t="s">
        <v>1326</v>
      </c>
      <c r="D16" t="s">
        <v>1327</v>
      </c>
      <c r="F16" t="s">
        <v>1328</v>
      </c>
      <c r="G16" t="s">
        <v>1260</v>
      </c>
      <c r="H16" s="21">
        <v>1400</v>
      </c>
      <c r="I16" t="s">
        <v>1329</v>
      </c>
      <c r="J16">
        <v>123</v>
      </c>
      <c r="L16" t="s">
        <v>1330</v>
      </c>
      <c r="N16" t="s">
        <v>1236</v>
      </c>
      <c r="O16" t="s">
        <v>43</v>
      </c>
      <c r="Q16" s="19" t="b">
        <v>1</v>
      </c>
    </row>
    <row r="17" spans="1:17">
      <c r="A17">
        <v>15</v>
      </c>
      <c r="B17" t="s">
        <v>1331</v>
      </c>
      <c r="C17" t="s">
        <v>1332</v>
      </c>
      <c r="D17" t="s">
        <v>1333</v>
      </c>
      <c r="F17" t="s">
        <v>1279</v>
      </c>
      <c r="G17" t="s">
        <v>1260</v>
      </c>
      <c r="H17" s="21">
        <v>1800</v>
      </c>
      <c r="I17" t="s">
        <v>1334</v>
      </c>
      <c r="J17">
        <v>205</v>
      </c>
      <c r="L17" t="s">
        <v>1335</v>
      </c>
      <c r="N17" t="s">
        <v>1236</v>
      </c>
      <c r="O17" t="s">
        <v>43</v>
      </c>
      <c r="Q17" s="19" t="b">
        <v>1</v>
      </c>
    </row>
    <row r="18" spans="1:17">
      <c r="A18">
        <v>16</v>
      </c>
      <c r="B18" t="s">
        <v>1336</v>
      </c>
      <c r="C18" t="s">
        <v>1337</v>
      </c>
      <c r="D18" t="s">
        <v>1338</v>
      </c>
      <c r="F18" t="s">
        <v>1339</v>
      </c>
      <c r="G18" t="s">
        <v>1260</v>
      </c>
      <c r="H18" s="21">
        <v>1200</v>
      </c>
      <c r="I18" t="s">
        <v>1340</v>
      </c>
      <c r="J18">
        <v>460</v>
      </c>
      <c r="L18" t="s">
        <v>1341</v>
      </c>
      <c r="N18" t="s">
        <v>1236</v>
      </c>
      <c r="O18" t="s">
        <v>43</v>
      </c>
      <c r="Q18" s="19" t="b">
        <v>1</v>
      </c>
    </row>
    <row r="19" spans="1:17">
      <c r="A19">
        <v>17</v>
      </c>
      <c r="B19" t="s">
        <v>1342</v>
      </c>
      <c r="C19" t="s">
        <v>1343</v>
      </c>
      <c r="D19" t="s">
        <v>1344</v>
      </c>
      <c r="F19" t="s">
        <v>1339</v>
      </c>
      <c r="G19" t="s">
        <v>1260</v>
      </c>
      <c r="H19" s="21">
        <v>1300</v>
      </c>
      <c r="I19" t="s">
        <v>1345</v>
      </c>
      <c r="J19">
        <v>150</v>
      </c>
      <c r="L19" t="s">
        <v>1346</v>
      </c>
      <c r="N19" t="s">
        <v>1236</v>
      </c>
      <c r="O19" t="s">
        <v>43</v>
      </c>
      <c r="Q19" s="19" t="b">
        <v>1</v>
      </c>
    </row>
  </sheetData>
  <mergeCells count="1">
    <mergeCell ref="A1:P1"/>
  </mergeCells>
  <phoneticPr fontId="4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ervicos"/>
  <dimension ref="A1:M4"/>
  <sheetViews>
    <sheetView workbookViewId="0">
      <selection activeCell="J8" sqref="J8"/>
    </sheetView>
  </sheetViews>
  <sheetFormatPr defaultRowHeight="15"/>
  <cols>
    <col min="1" max="1" width="8.5703125" customWidth="1"/>
    <col min="2" max="4" width="13.42578125" customWidth="1"/>
    <col min="5" max="5" width="16.42578125" bestFit="1" customWidth="1"/>
    <col min="6" max="6" width="16.140625" bestFit="1" customWidth="1"/>
    <col min="7" max="7" width="12.42578125" customWidth="1"/>
    <col min="8" max="8" width="7" customWidth="1"/>
    <col min="9" max="9" width="16.5703125" bestFit="1" customWidth="1"/>
    <col min="10" max="10" width="17" bestFit="1" customWidth="1"/>
    <col min="11" max="11" width="17.140625" bestFit="1" customWidth="1"/>
    <col min="12" max="12" width="17" bestFit="1" customWidth="1"/>
    <col min="13" max="13" width="12.42578125" bestFit="1" customWidth="1"/>
  </cols>
  <sheetData>
    <row r="1" spans="1:13" ht="18.75">
      <c r="A1" s="36" t="s">
        <v>1347</v>
      </c>
      <c r="B1" s="36"/>
      <c r="C1" s="36"/>
      <c r="D1" s="36"/>
      <c r="E1" s="36"/>
      <c r="F1" s="36"/>
      <c r="G1" s="36"/>
      <c r="H1" s="36"/>
    </row>
    <row r="2" spans="1:13">
      <c r="A2" s="2" t="s">
        <v>1</v>
      </c>
      <c r="B2" s="2" t="s">
        <v>14</v>
      </c>
      <c r="C2" s="2" t="s">
        <v>1348</v>
      </c>
      <c r="D2" s="2" t="s">
        <v>1349</v>
      </c>
      <c r="E2" s="2" t="s">
        <v>1211</v>
      </c>
      <c r="F2" s="2" t="s">
        <v>1350</v>
      </c>
      <c r="G2" s="2" t="s">
        <v>1351</v>
      </c>
      <c r="H2" s="2" t="s">
        <v>1352</v>
      </c>
      <c r="I2" s="2" t="s">
        <v>1353</v>
      </c>
      <c r="J2" s="2" t="s">
        <v>1354</v>
      </c>
      <c r="K2" s="2" t="s">
        <v>1355</v>
      </c>
      <c r="L2" s="2" t="s">
        <v>1356</v>
      </c>
      <c r="M2" s="2" t="s">
        <v>7</v>
      </c>
    </row>
    <row r="3" spans="1:13">
      <c r="A3">
        <v>1</v>
      </c>
      <c r="B3" t="s">
        <v>1357</v>
      </c>
      <c r="C3" t="s">
        <v>1358</v>
      </c>
      <c r="D3" t="s">
        <v>1359</v>
      </c>
      <c r="E3" t="s">
        <v>1360</v>
      </c>
      <c r="F3" t="b">
        <v>1</v>
      </c>
      <c r="H3" t="s">
        <v>1361</v>
      </c>
      <c r="I3">
        <v>0.1</v>
      </c>
      <c r="J3" t="s">
        <v>1361</v>
      </c>
      <c r="M3" t="b">
        <v>1</v>
      </c>
    </row>
    <row r="4" spans="1:13">
      <c r="A4">
        <v>2</v>
      </c>
      <c r="B4" t="s">
        <v>1362</v>
      </c>
      <c r="C4" t="s">
        <v>1363</v>
      </c>
      <c r="D4" t="s">
        <v>1364</v>
      </c>
      <c r="E4" t="s">
        <v>1365</v>
      </c>
      <c r="F4" t="b">
        <v>1</v>
      </c>
      <c r="H4" t="s">
        <v>1366</v>
      </c>
      <c r="I4">
        <v>0.5</v>
      </c>
      <c r="J4" t="s">
        <v>1366</v>
      </c>
      <c r="M4" t="b">
        <v>1</v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uncoes"/>
  <dimension ref="A1:E8"/>
  <sheetViews>
    <sheetView workbookViewId="0">
      <selection sqref="A1:E1"/>
    </sheetView>
  </sheetViews>
  <sheetFormatPr defaultRowHeight="15"/>
  <cols>
    <col min="1" max="1" width="7.140625" customWidth="1"/>
    <col min="2" max="2" width="28.140625" bestFit="1" customWidth="1"/>
    <col min="3" max="3" width="18.140625" customWidth="1"/>
    <col min="4" max="4" width="17.7109375" customWidth="1"/>
    <col min="5" max="5" width="12.42578125" bestFit="1" customWidth="1"/>
  </cols>
  <sheetData>
    <row r="1" spans="1:5" ht="18.75">
      <c r="A1" s="36" t="s">
        <v>1367</v>
      </c>
      <c r="B1" s="36"/>
      <c r="C1" s="36"/>
      <c r="D1" s="36"/>
    </row>
    <row r="2" spans="1:5">
      <c r="A2" s="2" t="s">
        <v>1</v>
      </c>
      <c r="B2" s="2" t="s">
        <v>14</v>
      </c>
      <c r="C2" s="2" t="s">
        <v>1368</v>
      </c>
      <c r="D2" s="2" t="s">
        <v>1369</v>
      </c>
      <c r="E2" s="2" t="s">
        <v>7</v>
      </c>
    </row>
    <row r="3" spans="1:5">
      <c r="A3">
        <v>1</v>
      </c>
      <c r="B3" t="s">
        <v>1370</v>
      </c>
      <c r="C3">
        <v>1</v>
      </c>
      <c r="D3" t="s">
        <v>1371</v>
      </c>
      <c r="E3" t="b">
        <v>1</v>
      </c>
    </row>
    <row r="4" spans="1:5">
      <c r="A4">
        <v>2</v>
      </c>
      <c r="B4" t="s">
        <v>1372</v>
      </c>
      <c r="C4">
        <v>3</v>
      </c>
      <c r="D4" t="s">
        <v>1373</v>
      </c>
      <c r="E4" t="b">
        <v>1</v>
      </c>
    </row>
    <row r="5" spans="1:5">
      <c r="A5">
        <v>3</v>
      </c>
      <c r="B5" t="s">
        <v>1374</v>
      </c>
      <c r="C5">
        <v>6</v>
      </c>
      <c r="D5" t="s">
        <v>1375</v>
      </c>
      <c r="E5" t="b">
        <v>1</v>
      </c>
    </row>
    <row r="6" spans="1:5">
      <c r="A6">
        <v>4</v>
      </c>
      <c r="B6" t="s">
        <v>1376</v>
      </c>
      <c r="C6">
        <v>2</v>
      </c>
      <c r="D6" t="s">
        <v>1371</v>
      </c>
      <c r="E6" t="b">
        <v>1</v>
      </c>
    </row>
    <row r="7" spans="1:5">
      <c r="A7">
        <v>5</v>
      </c>
      <c r="B7" t="s">
        <v>1377</v>
      </c>
      <c r="C7">
        <v>5</v>
      </c>
      <c r="D7" t="s">
        <v>1378</v>
      </c>
      <c r="E7" t="b">
        <v>1</v>
      </c>
    </row>
    <row r="8" spans="1:5">
      <c r="A8">
        <v>6</v>
      </c>
      <c r="B8" t="s">
        <v>1379</v>
      </c>
      <c r="C8">
        <v>4</v>
      </c>
      <c r="D8" t="s">
        <v>1380</v>
      </c>
      <c r="E8" t="b">
        <v>1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6AFFC-EE2D-448D-91FA-BA6A0CBA13D7}">
  <dimension ref="A1:E6"/>
  <sheetViews>
    <sheetView workbookViewId="0">
      <selection activeCell="E14" sqref="E14"/>
    </sheetView>
  </sheetViews>
  <sheetFormatPr defaultRowHeight="15"/>
  <cols>
    <col min="1" max="1" width="5.140625" bestFit="1" customWidth="1"/>
    <col min="2" max="2" width="9" bestFit="1" customWidth="1"/>
    <col min="3" max="3" width="16.7109375" bestFit="1" customWidth="1"/>
    <col min="4" max="4" width="10.5703125" bestFit="1" customWidth="1"/>
    <col min="5" max="5" width="12.42578125" bestFit="1" customWidth="1"/>
  </cols>
  <sheetData>
    <row r="1" spans="1:5" ht="18.75">
      <c r="A1" s="36" t="s">
        <v>1381</v>
      </c>
      <c r="B1" s="36"/>
      <c r="C1" s="36"/>
      <c r="D1" s="36"/>
      <c r="E1" s="36"/>
    </row>
    <row r="2" spans="1:5">
      <c r="A2" s="2" t="s">
        <v>1</v>
      </c>
      <c r="B2" s="2" t="s">
        <v>14</v>
      </c>
      <c r="C2" s="2" t="s">
        <v>1382</v>
      </c>
      <c r="D2" s="2" t="s">
        <v>1383</v>
      </c>
      <c r="E2" s="2" t="s">
        <v>7</v>
      </c>
    </row>
    <row r="3" spans="1:5">
      <c r="A3">
        <v>2</v>
      </c>
      <c r="B3" t="s">
        <v>1384</v>
      </c>
      <c r="C3" t="s">
        <v>1385</v>
      </c>
      <c r="D3">
        <v>35</v>
      </c>
      <c r="E3" t="b">
        <v>1</v>
      </c>
    </row>
    <row r="4" spans="1:5">
      <c r="A4">
        <v>3</v>
      </c>
      <c r="B4" t="s">
        <v>1386</v>
      </c>
      <c r="C4" t="s">
        <v>1385</v>
      </c>
      <c r="D4">
        <v>40</v>
      </c>
      <c r="E4" t="b">
        <v>1</v>
      </c>
    </row>
    <row r="5" spans="1:5">
      <c r="A5">
        <v>4</v>
      </c>
      <c r="B5" t="s">
        <v>1386</v>
      </c>
      <c r="C5" t="s">
        <v>1387</v>
      </c>
      <c r="D5">
        <v>10</v>
      </c>
      <c r="E5" t="b">
        <v>1</v>
      </c>
    </row>
    <row r="6" spans="1:5">
      <c r="A6">
        <v>5</v>
      </c>
      <c r="B6" t="s">
        <v>1388</v>
      </c>
      <c r="C6" t="s">
        <v>1389</v>
      </c>
      <c r="D6">
        <v>40</v>
      </c>
      <c r="E6" t="b">
        <v>1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258AB-DE70-4ABE-8B44-7F2A4FCEEC7A}">
  <dimension ref="A1:N2"/>
  <sheetViews>
    <sheetView workbookViewId="0">
      <selection activeCell="O8" sqref="O8"/>
    </sheetView>
  </sheetViews>
  <sheetFormatPr defaultRowHeight="15"/>
  <cols>
    <col min="5" max="5" width="16.42578125" bestFit="1" customWidth="1"/>
    <col min="8" max="8" width="17.5703125" bestFit="1" customWidth="1"/>
    <col min="9" max="9" width="10" bestFit="1" customWidth="1"/>
    <col min="11" max="11" width="9.85546875" bestFit="1" customWidth="1"/>
    <col min="13" max="13" width="11.85546875" bestFit="1" customWidth="1"/>
    <col min="14" max="14" width="8.85546875" bestFit="1" customWidth="1"/>
  </cols>
  <sheetData>
    <row r="1" spans="1:14">
      <c r="A1" s="2" t="s">
        <v>1</v>
      </c>
      <c r="B1" s="2" t="s">
        <v>14</v>
      </c>
      <c r="C1" s="2" t="s">
        <v>15</v>
      </c>
      <c r="D1" s="2" t="s">
        <v>25</v>
      </c>
      <c r="E1" s="2" t="s">
        <v>1198</v>
      </c>
      <c r="F1" s="2" t="s">
        <v>1390</v>
      </c>
      <c r="G1" s="2" t="s">
        <v>27</v>
      </c>
      <c r="H1" s="2" t="s">
        <v>28</v>
      </c>
      <c r="I1" s="2" t="s">
        <v>29</v>
      </c>
      <c r="J1" s="2" t="s">
        <v>30</v>
      </c>
      <c r="K1" s="2" t="s">
        <v>31</v>
      </c>
      <c r="L1" s="2" t="s">
        <v>32</v>
      </c>
      <c r="M1" s="2" t="s">
        <v>34</v>
      </c>
      <c r="N1" s="2" t="s">
        <v>7</v>
      </c>
    </row>
    <row r="2" spans="1:14">
      <c r="A2"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28EC3-07B8-4BF9-A7F2-C3DDFD63FAB4}">
  <dimension ref="A1:B13"/>
  <sheetViews>
    <sheetView workbookViewId="0">
      <selection activeCell="B19" sqref="B19"/>
    </sheetView>
  </sheetViews>
  <sheetFormatPr defaultRowHeight="15"/>
  <cols>
    <col min="1" max="1" width="7.42578125" bestFit="1" customWidth="1"/>
    <col min="2" max="2" width="29.140625" bestFit="1" customWidth="1"/>
  </cols>
  <sheetData>
    <row r="1" spans="1:2">
      <c r="A1" s="38" t="s">
        <v>1391</v>
      </c>
      <c r="B1" s="38"/>
    </row>
    <row r="2" spans="1:2">
      <c r="A2" s="3" t="s">
        <v>1</v>
      </c>
      <c r="B2" s="2" t="s">
        <v>1392</v>
      </c>
    </row>
    <row r="3" spans="1:2">
      <c r="A3" s="1" t="s">
        <v>1393</v>
      </c>
      <c r="B3" t="s">
        <v>1394</v>
      </c>
    </row>
    <row r="4" spans="1:2">
      <c r="A4" s="1" t="s">
        <v>1395</v>
      </c>
      <c r="B4" t="s">
        <v>1396</v>
      </c>
    </row>
    <row r="5" spans="1:2">
      <c r="A5" s="1" t="s">
        <v>1397</v>
      </c>
      <c r="B5" t="s">
        <v>1398</v>
      </c>
    </row>
    <row r="6" spans="1:2">
      <c r="A6" s="1" t="s">
        <v>1399</v>
      </c>
      <c r="B6" t="s">
        <v>1400</v>
      </c>
    </row>
    <row r="7" spans="1:2">
      <c r="A7" s="1" t="s">
        <v>1401</v>
      </c>
      <c r="B7" t="s">
        <v>1402</v>
      </c>
    </row>
    <row r="8" spans="1:2">
      <c r="A8" s="1" t="s">
        <v>1403</v>
      </c>
      <c r="B8" t="s">
        <v>1404</v>
      </c>
    </row>
    <row r="9" spans="1:2">
      <c r="A9" s="1" t="s">
        <v>1405</v>
      </c>
      <c r="B9" t="s">
        <v>1406</v>
      </c>
    </row>
    <row r="10" spans="1:2">
      <c r="A10" s="1" t="s">
        <v>1407</v>
      </c>
      <c r="B10" t="s">
        <v>1408</v>
      </c>
    </row>
    <row r="11" spans="1:2">
      <c r="A11" s="1" t="s">
        <v>1409</v>
      </c>
      <c r="B11" t="s">
        <v>1410</v>
      </c>
    </row>
    <row r="12" spans="1:2">
      <c r="A12" s="1" t="s">
        <v>1411</v>
      </c>
      <c r="B12" t="s">
        <v>1412</v>
      </c>
    </row>
    <row r="13" spans="1:2">
      <c r="A13" s="1" t="s">
        <v>1413</v>
      </c>
      <c r="B13" t="s">
        <v>1414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37C4D-B155-46E7-90C8-7F12874EE74D}">
  <dimension ref="A1:C10"/>
  <sheetViews>
    <sheetView workbookViewId="0">
      <selection activeCell="D21" sqref="D21"/>
    </sheetView>
  </sheetViews>
  <sheetFormatPr defaultRowHeight="15"/>
  <cols>
    <col min="2" max="2" width="42.7109375" bestFit="1" customWidth="1"/>
    <col min="3" max="3" width="17.28515625" bestFit="1" customWidth="1"/>
  </cols>
  <sheetData>
    <row r="1" spans="1:3">
      <c r="A1" s="38" t="s">
        <v>1415</v>
      </c>
      <c r="B1" s="38"/>
      <c r="C1" s="38"/>
    </row>
    <row r="2" spans="1:3">
      <c r="A2" s="2" t="s">
        <v>1</v>
      </c>
      <c r="B2" s="2" t="s">
        <v>1392</v>
      </c>
      <c r="C2" s="2" t="s">
        <v>1416</v>
      </c>
    </row>
    <row r="3" spans="1:3">
      <c r="A3" t="s">
        <v>1417</v>
      </c>
      <c r="B3" t="s">
        <v>1418</v>
      </c>
      <c r="C3" t="str">
        <f>MID(grupo28[[#This Row],[ID]],1,3)</f>
        <v>1.1</v>
      </c>
    </row>
    <row r="4" spans="1:3">
      <c r="A4" t="s">
        <v>1419</v>
      </c>
      <c r="B4" s="7" t="s">
        <v>1420</v>
      </c>
      <c r="C4" t="str">
        <f>MID(grupo28[[#This Row],[ID]],1,3)</f>
        <v>1.1</v>
      </c>
    </row>
    <row r="5" spans="1:3">
      <c r="A5" t="s">
        <v>1421</v>
      </c>
      <c r="B5" t="s">
        <v>1422</v>
      </c>
      <c r="C5" t="str">
        <f>MID(grupo28[[#This Row],[ID]],1,3)</f>
        <v>1.1</v>
      </c>
    </row>
    <row r="6" spans="1:3">
      <c r="A6" t="s">
        <v>1423</v>
      </c>
      <c r="B6" t="s">
        <v>1424</v>
      </c>
      <c r="C6" t="str">
        <f>MID(grupo28[[#This Row],[ID]],1,3)</f>
        <v>1.1</v>
      </c>
    </row>
    <row r="7" spans="1:3">
      <c r="A7" t="s">
        <v>1425</v>
      </c>
      <c r="B7" t="s">
        <v>1426</v>
      </c>
      <c r="C7" t="str">
        <f>MID(grupo28[[#This Row],[ID]],1,3)</f>
        <v>1.2</v>
      </c>
    </row>
    <row r="8" spans="1:3">
      <c r="A8" t="s">
        <v>1427</v>
      </c>
      <c r="B8" t="s">
        <v>1428</v>
      </c>
      <c r="C8" t="str">
        <f>MID(grupo28[[#This Row],[ID]],1,3)</f>
        <v>1.2</v>
      </c>
    </row>
    <row r="9" spans="1:3">
      <c r="A9" t="s">
        <v>1429</v>
      </c>
      <c r="B9" t="s">
        <v>1430</v>
      </c>
      <c r="C9" t="str">
        <f>MID(grupo28[[#This Row],[ID]],1,3)</f>
        <v>1.2</v>
      </c>
    </row>
    <row r="10" spans="1:3">
      <c r="A10" t="s">
        <v>1431</v>
      </c>
      <c r="B10" t="s">
        <v>1432</v>
      </c>
      <c r="C10" t="str">
        <f>MID(grupo28[[#This Row],[ID]],1,3)</f>
        <v>1.3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F0578-9165-4F24-ADC7-690ECB3CD748}">
  <dimension ref="A1:C69"/>
  <sheetViews>
    <sheetView workbookViewId="0">
      <selection activeCell="D15" sqref="D15"/>
    </sheetView>
  </sheetViews>
  <sheetFormatPr defaultRowHeight="15"/>
  <cols>
    <col min="1" max="1" width="7.7109375" bestFit="1" customWidth="1"/>
    <col min="2" max="2" width="35.42578125" bestFit="1" customWidth="1"/>
    <col min="3" max="3" width="9.85546875" bestFit="1" customWidth="1"/>
  </cols>
  <sheetData>
    <row r="1" spans="1:3">
      <c r="A1" s="38" t="s">
        <v>1211</v>
      </c>
      <c r="B1" s="38"/>
      <c r="C1" s="38"/>
    </row>
    <row r="2" spans="1:3">
      <c r="A2" s="2" t="s">
        <v>1</v>
      </c>
      <c r="B2" s="2" t="s">
        <v>1392</v>
      </c>
      <c r="C2" s="2" t="s">
        <v>1415</v>
      </c>
    </row>
    <row r="3" spans="1:3">
      <c r="A3" t="s">
        <v>1433</v>
      </c>
      <c r="B3" t="s">
        <v>1434</v>
      </c>
    </row>
    <row r="4" spans="1:3">
      <c r="A4" t="s">
        <v>1435</v>
      </c>
      <c r="B4" t="s">
        <v>1436</v>
      </c>
    </row>
    <row r="5" spans="1:3">
      <c r="A5" t="s">
        <v>1437</v>
      </c>
      <c r="B5" t="s">
        <v>1438</v>
      </c>
    </row>
    <row r="6" spans="1:3">
      <c r="A6" t="s">
        <v>1439</v>
      </c>
      <c r="B6" t="s">
        <v>1440</v>
      </c>
    </row>
    <row r="7" spans="1:3">
      <c r="A7" t="s">
        <v>1441</v>
      </c>
      <c r="B7" t="s">
        <v>1442</v>
      </c>
    </row>
    <row r="8" spans="1:3">
      <c r="A8" t="s">
        <v>1443</v>
      </c>
      <c r="B8" t="s">
        <v>1444</v>
      </c>
    </row>
    <row r="9" spans="1:3">
      <c r="A9" t="s">
        <v>1445</v>
      </c>
      <c r="B9" t="s">
        <v>1446</v>
      </c>
    </row>
    <row r="10" spans="1:3">
      <c r="A10" t="s">
        <v>1447</v>
      </c>
      <c r="B10" t="s">
        <v>1448</v>
      </c>
    </row>
    <row r="11" spans="1:3">
      <c r="A11" t="s">
        <v>1449</v>
      </c>
      <c r="B11" t="s">
        <v>1450</v>
      </c>
    </row>
    <row r="12" spans="1:3">
      <c r="A12" t="s">
        <v>1451</v>
      </c>
      <c r="B12" t="s">
        <v>1452</v>
      </c>
    </row>
    <row r="13" spans="1:3">
      <c r="A13" t="s">
        <v>1453</v>
      </c>
      <c r="B13" t="s">
        <v>1454</v>
      </c>
    </row>
    <row r="14" spans="1:3">
      <c r="A14" t="s">
        <v>1455</v>
      </c>
      <c r="B14" t="s">
        <v>1456</v>
      </c>
    </row>
    <row r="15" spans="1:3">
      <c r="A15" t="s">
        <v>1457</v>
      </c>
      <c r="B15" t="s">
        <v>1458</v>
      </c>
    </row>
    <row r="16" spans="1:3">
      <c r="A16" t="s">
        <v>1459</v>
      </c>
      <c r="B16" t="s">
        <v>1460</v>
      </c>
    </row>
    <row r="17" spans="1:2">
      <c r="A17" t="s">
        <v>1461</v>
      </c>
      <c r="B17" t="s">
        <v>1462</v>
      </c>
    </row>
    <row r="18" spans="1:2">
      <c r="A18" t="s">
        <v>1463</v>
      </c>
      <c r="B18" t="s">
        <v>1464</v>
      </c>
    </row>
    <row r="19" spans="1:2">
      <c r="A19" t="s">
        <v>1465</v>
      </c>
      <c r="B19" t="s">
        <v>1466</v>
      </c>
    </row>
    <row r="20" spans="1:2">
      <c r="A20" t="s">
        <v>1467</v>
      </c>
      <c r="B20" t="s">
        <v>1468</v>
      </c>
    </row>
    <row r="21" spans="1:2">
      <c r="A21" t="s">
        <v>1469</v>
      </c>
      <c r="B21" t="s">
        <v>1470</v>
      </c>
    </row>
    <row r="22" spans="1:2">
      <c r="A22" t="s">
        <v>1471</v>
      </c>
      <c r="B22" t="s">
        <v>1472</v>
      </c>
    </row>
    <row r="23" spans="1:2">
      <c r="A23" t="s">
        <v>1473</v>
      </c>
      <c r="B23" t="s">
        <v>1474</v>
      </c>
    </row>
    <row r="24" spans="1:2">
      <c r="A24" t="s">
        <v>1475</v>
      </c>
      <c r="B24" t="s">
        <v>1476</v>
      </c>
    </row>
    <row r="25" spans="1:2">
      <c r="A25" t="s">
        <v>1437</v>
      </c>
      <c r="B25" t="s">
        <v>1477</v>
      </c>
    </row>
    <row r="26" spans="1:2">
      <c r="A26" t="s">
        <v>1478</v>
      </c>
      <c r="B26" t="s">
        <v>1479</v>
      </c>
    </row>
    <row r="27" spans="1:2">
      <c r="A27" t="s">
        <v>1480</v>
      </c>
      <c r="B27" t="s">
        <v>1481</v>
      </c>
    </row>
    <row r="28" spans="1:2">
      <c r="A28" t="s">
        <v>1482</v>
      </c>
      <c r="B28" t="s">
        <v>1483</v>
      </c>
    </row>
    <row r="29" spans="1:2">
      <c r="A29" t="s">
        <v>1484</v>
      </c>
      <c r="B29" t="s">
        <v>1485</v>
      </c>
    </row>
    <row r="30" spans="1:2">
      <c r="A30" t="s">
        <v>1486</v>
      </c>
      <c r="B30" t="s">
        <v>1487</v>
      </c>
    </row>
    <row r="31" spans="1:2">
      <c r="A31" t="s">
        <v>1488</v>
      </c>
      <c r="B31" t="s">
        <v>1489</v>
      </c>
    </row>
    <row r="32" spans="1:2">
      <c r="A32" t="s">
        <v>1490</v>
      </c>
      <c r="B32" t="s">
        <v>1491</v>
      </c>
    </row>
    <row r="33" spans="1:2">
      <c r="A33" t="s">
        <v>1492</v>
      </c>
      <c r="B33" t="s">
        <v>1493</v>
      </c>
    </row>
    <row r="34" spans="1:2">
      <c r="A34" t="s">
        <v>1494</v>
      </c>
      <c r="B34" t="s">
        <v>1495</v>
      </c>
    </row>
    <row r="35" spans="1:2">
      <c r="A35" t="s">
        <v>1496</v>
      </c>
      <c r="B35" t="s">
        <v>1497</v>
      </c>
    </row>
    <row r="36" spans="1:2">
      <c r="A36" t="s">
        <v>1498</v>
      </c>
      <c r="B36" t="s">
        <v>1499</v>
      </c>
    </row>
    <row r="37" spans="1:2">
      <c r="A37" t="s">
        <v>1500</v>
      </c>
      <c r="B37" t="s">
        <v>1501</v>
      </c>
    </row>
    <row r="38" spans="1:2">
      <c r="A38" t="s">
        <v>1502</v>
      </c>
      <c r="B38" t="s">
        <v>1503</v>
      </c>
    </row>
    <row r="39" spans="1:2">
      <c r="A39" t="s">
        <v>1504</v>
      </c>
      <c r="B39" t="s">
        <v>1505</v>
      </c>
    </row>
    <row r="40" spans="1:2">
      <c r="A40" t="s">
        <v>1506</v>
      </c>
      <c r="B40" t="s">
        <v>1507</v>
      </c>
    </row>
    <row r="41" spans="1:2">
      <c r="A41" t="s">
        <v>1508</v>
      </c>
      <c r="B41" t="s">
        <v>1509</v>
      </c>
    </row>
    <row r="42" spans="1:2">
      <c r="A42" t="s">
        <v>1510</v>
      </c>
      <c r="B42" t="s">
        <v>1511</v>
      </c>
    </row>
    <row r="43" spans="1:2">
      <c r="A43" t="s">
        <v>1512</v>
      </c>
      <c r="B43" t="s">
        <v>1513</v>
      </c>
    </row>
    <row r="44" spans="1:2">
      <c r="A44" t="s">
        <v>1514</v>
      </c>
      <c r="B44" t="s">
        <v>1515</v>
      </c>
    </row>
    <row r="45" spans="1:2">
      <c r="A45" t="s">
        <v>1516</v>
      </c>
      <c r="B45" t="s">
        <v>1517</v>
      </c>
    </row>
    <row r="46" spans="1:2">
      <c r="A46" t="s">
        <v>1518</v>
      </c>
      <c r="B46" t="s">
        <v>1519</v>
      </c>
    </row>
    <row r="47" spans="1:2">
      <c r="A47" t="s">
        <v>1520</v>
      </c>
      <c r="B47" t="s">
        <v>1521</v>
      </c>
    </row>
    <row r="48" spans="1:2">
      <c r="A48" t="s">
        <v>1522</v>
      </c>
      <c r="B48" t="s">
        <v>1523</v>
      </c>
    </row>
    <row r="49" spans="1:2">
      <c r="A49" t="s">
        <v>1524</v>
      </c>
      <c r="B49" t="s">
        <v>1525</v>
      </c>
    </row>
    <row r="50" spans="1:2">
      <c r="A50" t="s">
        <v>1526</v>
      </c>
      <c r="B50" t="s">
        <v>1527</v>
      </c>
    </row>
    <row r="51" spans="1:2">
      <c r="A51" t="s">
        <v>1528</v>
      </c>
      <c r="B51" t="s">
        <v>1529</v>
      </c>
    </row>
    <row r="52" spans="1:2">
      <c r="A52" t="s">
        <v>1530</v>
      </c>
      <c r="B52" t="s">
        <v>1531</v>
      </c>
    </row>
    <row r="53" spans="1:2">
      <c r="A53" t="s">
        <v>1532</v>
      </c>
      <c r="B53" t="s">
        <v>1533</v>
      </c>
    </row>
    <row r="54" spans="1:2">
      <c r="A54" t="s">
        <v>1534</v>
      </c>
      <c r="B54" t="s">
        <v>1535</v>
      </c>
    </row>
    <row r="55" spans="1:2">
      <c r="A55" t="s">
        <v>1536</v>
      </c>
      <c r="B55" t="s">
        <v>1537</v>
      </c>
    </row>
    <row r="56" spans="1:2">
      <c r="A56" t="s">
        <v>1538</v>
      </c>
      <c r="B56" t="s">
        <v>1539</v>
      </c>
    </row>
    <row r="57" spans="1:2">
      <c r="A57" t="s">
        <v>1540</v>
      </c>
      <c r="B57" t="s">
        <v>1541</v>
      </c>
    </row>
    <row r="58" spans="1:2">
      <c r="A58" t="s">
        <v>1542</v>
      </c>
      <c r="B58" t="s">
        <v>1543</v>
      </c>
    </row>
    <row r="59" spans="1:2">
      <c r="A59" t="s">
        <v>1544</v>
      </c>
      <c r="B59" t="s">
        <v>1545</v>
      </c>
    </row>
    <row r="60" spans="1:2">
      <c r="A60" t="s">
        <v>1546</v>
      </c>
      <c r="B60" t="s">
        <v>1547</v>
      </c>
    </row>
    <row r="61" spans="1:2">
      <c r="A61" t="s">
        <v>1548</v>
      </c>
      <c r="B61" t="s">
        <v>1549</v>
      </c>
    </row>
    <row r="62" spans="1:2">
      <c r="A62" t="s">
        <v>1550</v>
      </c>
      <c r="B62" t="s">
        <v>1551</v>
      </c>
    </row>
    <row r="63" spans="1:2">
      <c r="A63" t="s">
        <v>1552</v>
      </c>
      <c r="B63" t="s">
        <v>1553</v>
      </c>
    </row>
    <row r="64" spans="1:2">
      <c r="A64" t="s">
        <v>1554</v>
      </c>
      <c r="B64" t="s">
        <v>1555</v>
      </c>
    </row>
    <row r="65" spans="1:2">
      <c r="A65" t="s">
        <v>1556</v>
      </c>
      <c r="B65" t="s">
        <v>1557</v>
      </c>
    </row>
    <row r="66" spans="1:2">
      <c r="A66" t="s">
        <v>1558</v>
      </c>
      <c r="B66" t="s">
        <v>1559</v>
      </c>
    </row>
    <row r="67" spans="1:2">
      <c r="A67" t="s">
        <v>1560</v>
      </c>
      <c r="B67" t="s">
        <v>1561</v>
      </c>
    </row>
    <row r="68" spans="1:2">
      <c r="A68" t="s">
        <v>1562</v>
      </c>
      <c r="B68" t="s">
        <v>1563</v>
      </c>
    </row>
    <row r="69" spans="1:2">
      <c r="A69" t="s">
        <v>1564</v>
      </c>
      <c r="B69" t="s">
        <v>1565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Contas"/>
  <dimension ref="A1:K69"/>
  <sheetViews>
    <sheetView showGridLines="0" workbookViewId="0">
      <selection activeCell="N28" sqref="N28"/>
    </sheetView>
  </sheetViews>
  <sheetFormatPr defaultRowHeight="15"/>
  <cols>
    <col min="1" max="1" width="7.42578125" style="1" bestFit="1" customWidth="1"/>
    <col min="2" max="2" width="40.42578125" bestFit="1" customWidth="1"/>
    <col min="4" max="4" width="7.140625" customWidth="1"/>
    <col min="5" max="5" width="40.5703125" bestFit="1" customWidth="1"/>
    <col min="6" max="6" width="17" customWidth="1"/>
    <col min="8" max="8" width="7.85546875" customWidth="1"/>
    <col min="9" max="9" width="35.42578125" bestFit="1" customWidth="1"/>
    <col min="10" max="10" width="10.5703125" customWidth="1"/>
  </cols>
  <sheetData>
    <row r="1" spans="1:11">
      <c r="A1" s="38" t="s">
        <v>1391</v>
      </c>
      <c r="B1" s="38"/>
      <c r="D1" s="38" t="s">
        <v>1415</v>
      </c>
      <c r="E1" s="38"/>
      <c r="F1" s="38"/>
      <c r="H1" s="38" t="s">
        <v>1211</v>
      </c>
      <c r="I1" s="38"/>
      <c r="J1" s="38"/>
      <c r="K1" s="2"/>
    </row>
    <row r="2" spans="1:11">
      <c r="A2" s="3" t="s">
        <v>1</v>
      </c>
      <c r="B2" s="2" t="s">
        <v>1392</v>
      </c>
      <c r="D2" s="2" t="s">
        <v>1</v>
      </c>
      <c r="E2" s="2" t="s">
        <v>1392</v>
      </c>
      <c r="F2" s="2" t="s">
        <v>1416</v>
      </c>
      <c r="H2" s="2" t="s">
        <v>1</v>
      </c>
      <c r="I2" s="2" t="s">
        <v>1392</v>
      </c>
      <c r="J2" s="2" t="s">
        <v>1415</v>
      </c>
    </row>
    <row r="3" spans="1:11">
      <c r="A3" s="1" t="s">
        <v>1393</v>
      </c>
      <c r="B3" t="s">
        <v>1394</v>
      </c>
      <c r="D3" t="s">
        <v>1417</v>
      </c>
      <c r="E3" t="s">
        <v>1418</v>
      </c>
      <c r="F3" t="str">
        <f>MID(grupo[[#This Row],[ID]],1,3)</f>
        <v>1.1</v>
      </c>
      <c r="H3" t="s">
        <v>1433</v>
      </c>
      <c r="I3" t="s">
        <v>1434</v>
      </c>
    </row>
    <row r="4" spans="1:11">
      <c r="A4" s="1" t="s">
        <v>1395</v>
      </c>
      <c r="B4" t="s">
        <v>1396</v>
      </c>
      <c r="D4" t="s">
        <v>1419</v>
      </c>
      <c r="E4" s="7" t="s">
        <v>1420</v>
      </c>
      <c r="F4" t="str">
        <f>MID(grupo[[#This Row],[ID]],1,3)</f>
        <v>1.1</v>
      </c>
      <c r="H4" t="s">
        <v>1435</v>
      </c>
      <c r="I4" t="s">
        <v>1436</v>
      </c>
    </row>
    <row r="5" spans="1:11">
      <c r="A5" s="1" t="s">
        <v>1397</v>
      </c>
      <c r="B5" t="s">
        <v>1398</v>
      </c>
      <c r="D5" t="s">
        <v>1421</v>
      </c>
      <c r="E5" t="s">
        <v>1422</v>
      </c>
      <c r="F5" t="str">
        <f>MID(grupo[[#This Row],[ID]],1,3)</f>
        <v>1.1</v>
      </c>
      <c r="H5" t="s">
        <v>1437</v>
      </c>
      <c r="I5" t="s">
        <v>1438</v>
      </c>
    </row>
    <row r="6" spans="1:11">
      <c r="A6" s="1" t="s">
        <v>1399</v>
      </c>
      <c r="B6" t="s">
        <v>1400</v>
      </c>
      <c r="D6" t="s">
        <v>1423</v>
      </c>
      <c r="E6" t="s">
        <v>1424</v>
      </c>
      <c r="F6" t="str">
        <f>MID(grupo[[#This Row],[ID]],1,3)</f>
        <v>1.1</v>
      </c>
      <c r="H6" t="s">
        <v>1439</v>
      </c>
      <c r="I6" t="s">
        <v>1440</v>
      </c>
    </row>
    <row r="7" spans="1:11">
      <c r="A7" s="1" t="s">
        <v>1401</v>
      </c>
      <c r="B7" t="s">
        <v>1402</v>
      </c>
      <c r="D7" t="s">
        <v>1425</v>
      </c>
      <c r="E7" t="s">
        <v>1426</v>
      </c>
      <c r="F7" t="str">
        <f>MID(grupo[[#This Row],[ID]],1,3)</f>
        <v>1.2</v>
      </c>
      <c r="H7" t="s">
        <v>1441</v>
      </c>
      <c r="I7" t="s">
        <v>1442</v>
      </c>
    </row>
    <row r="8" spans="1:11">
      <c r="A8" s="1" t="s">
        <v>1403</v>
      </c>
      <c r="B8" t="s">
        <v>1404</v>
      </c>
      <c r="D8" t="s">
        <v>1427</v>
      </c>
      <c r="E8" t="s">
        <v>1428</v>
      </c>
      <c r="F8" t="str">
        <f>MID(grupo[[#This Row],[ID]],1,3)</f>
        <v>1.2</v>
      </c>
      <c r="H8" t="s">
        <v>1443</v>
      </c>
      <c r="I8" t="s">
        <v>1444</v>
      </c>
    </row>
    <row r="9" spans="1:11">
      <c r="A9" s="1" t="s">
        <v>1405</v>
      </c>
      <c r="B9" t="s">
        <v>1406</v>
      </c>
      <c r="D9" t="s">
        <v>1429</v>
      </c>
      <c r="E9" t="s">
        <v>1430</v>
      </c>
      <c r="F9" t="str">
        <f>MID(grupo[[#This Row],[ID]],1,3)</f>
        <v>1.2</v>
      </c>
      <c r="H9" t="s">
        <v>1445</v>
      </c>
      <c r="I9" t="s">
        <v>1446</v>
      </c>
    </row>
    <row r="10" spans="1:11">
      <c r="A10" s="1" t="s">
        <v>1407</v>
      </c>
      <c r="B10" t="s">
        <v>1408</v>
      </c>
      <c r="D10" t="s">
        <v>1431</v>
      </c>
      <c r="E10" t="s">
        <v>1432</v>
      </c>
      <c r="F10" t="str">
        <f>MID(grupo[[#This Row],[ID]],1,3)</f>
        <v>1.3</v>
      </c>
      <c r="H10" t="s">
        <v>1447</v>
      </c>
      <c r="I10" t="s">
        <v>1448</v>
      </c>
    </row>
    <row r="11" spans="1:11">
      <c r="A11" s="1" t="s">
        <v>1409</v>
      </c>
      <c r="B11" t="s">
        <v>1410</v>
      </c>
      <c r="H11" t="s">
        <v>1449</v>
      </c>
      <c r="I11" t="s">
        <v>1450</v>
      </c>
    </row>
    <row r="12" spans="1:11">
      <c r="A12" s="1" t="s">
        <v>1411</v>
      </c>
      <c r="B12" t="s">
        <v>1412</v>
      </c>
      <c r="H12" t="s">
        <v>1451</v>
      </c>
      <c r="I12" t="s">
        <v>1452</v>
      </c>
    </row>
    <row r="13" spans="1:11">
      <c r="A13" s="1" t="s">
        <v>1413</v>
      </c>
      <c r="B13" t="s">
        <v>1414</v>
      </c>
      <c r="H13" t="s">
        <v>1453</v>
      </c>
      <c r="I13" t="s">
        <v>1454</v>
      </c>
    </row>
    <row r="14" spans="1:11">
      <c r="H14" t="s">
        <v>1455</v>
      </c>
      <c r="I14" t="s">
        <v>1456</v>
      </c>
    </row>
    <row r="15" spans="1:11">
      <c r="H15" t="s">
        <v>1457</v>
      </c>
      <c r="I15" t="s">
        <v>1458</v>
      </c>
    </row>
    <row r="16" spans="1:11">
      <c r="H16" t="s">
        <v>1459</v>
      </c>
      <c r="I16" t="s">
        <v>1460</v>
      </c>
    </row>
    <row r="17" spans="8:9">
      <c r="H17" t="s">
        <v>1461</v>
      </c>
      <c r="I17" t="s">
        <v>1462</v>
      </c>
    </row>
    <row r="18" spans="8:9">
      <c r="H18" t="s">
        <v>1463</v>
      </c>
      <c r="I18" t="s">
        <v>1464</v>
      </c>
    </row>
    <row r="19" spans="8:9">
      <c r="H19" t="s">
        <v>1465</v>
      </c>
      <c r="I19" t="s">
        <v>1466</v>
      </c>
    </row>
    <row r="20" spans="8:9">
      <c r="H20" t="s">
        <v>1467</v>
      </c>
      <c r="I20" t="s">
        <v>1468</v>
      </c>
    </row>
    <row r="21" spans="8:9">
      <c r="H21" t="s">
        <v>1469</v>
      </c>
      <c r="I21" t="s">
        <v>1470</v>
      </c>
    </row>
    <row r="22" spans="8:9">
      <c r="H22" t="s">
        <v>1471</v>
      </c>
      <c r="I22" t="s">
        <v>1472</v>
      </c>
    </row>
    <row r="23" spans="8:9">
      <c r="H23" t="s">
        <v>1473</v>
      </c>
      <c r="I23" t="s">
        <v>1474</v>
      </c>
    </row>
    <row r="24" spans="8:9">
      <c r="H24" t="s">
        <v>1475</v>
      </c>
      <c r="I24" t="s">
        <v>1476</v>
      </c>
    </row>
    <row r="25" spans="8:9">
      <c r="H25" t="s">
        <v>1437</v>
      </c>
      <c r="I25" t="s">
        <v>1477</v>
      </c>
    </row>
    <row r="26" spans="8:9">
      <c r="H26" t="s">
        <v>1478</v>
      </c>
      <c r="I26" t="s">
        <v>1479</v>
      </c>
    </row>
    <row r="27" spans="8:9">
      <c r="H27" t="s">
        <v>1480</v>
      </c>
      <c r="I27" t="s">
        <v>1481</v>
      </c>
    </row>
    <row r="28" spans="8:9">
      <c r="H28" t="s">
        <v>1482</v>
      </c>
      <c r="I28" t="s">
        <v>1483</v>
      </c>
    </row>
    <row r="29" spans="8:9">
      <c r="H29" t="s">
        <v>1484</v>
      </c>
      <c r="I29" t="s">
        <v>1485</v>
      </c>
    </row>
    <row r="30" spans="8:9">
      <c r="H30" t="s">
        <v>1486</v>
      </c>
      <c r="I30" t="s">
        <v>1487</v>
      </c>
    </row>
    <row r="31" spans="8:9">
      <c r="H31" t="s">
        <v>1488</v>
      </c>
      <c r="I31" t="s">
        <v>1489</v>
      </c>
    </row>
    <row r="32" spans="8:9">
      <c r="H32" t="s">
        <v>1490</v>
      </c>
      <c r="I32" t="s">
        <v>1491</v>
      </c>
    </row>
    <row r="33" spans="8:9">
      <c r="H33" t="s">
        <v>1492</v>
      </c>
      <c r="I33" t="s">
        <v>1493</v>
      </c>
    </row>
    <row r="34" spans="8:9">
      <c r="H34" t="s">
        <v>1494</v>
      </c>
      <c r="I34" t="s">
        <v>1495</v>
      </c>
    </row>
    <row r="35" spans="8:9">
      <c r="H35" t="s">
        <v>1496</v>
      </c>
      <c r="I35" t="s">
        <v>1497</v>
      </c>
    </row>
    <row r="36" spans="8:9">
      <c r="H36" t="s">
        <v>1498</v>
      </c>
      <c r="I36" t="s">
        <v>1499</v>
      </c>
    </row>
    <row r="37" spans="8:9">
      <c r="H37" t="s">
        <v>1500</v>
      </c>
      <c r="I37" t="s">
        <v>1501</v>
      </c>
    </row>
    <row r="38" spans="8:9">
      <c r="H38" t="s">
        <v>1502</v>
      </c>
      <c r="I38" t="s">
        <v>1503</v>
      </c>
    </row>
    <row r="39" spans="8:9">
      <c r="H39" t="s">
        <v>1504</v>
      </c>
      <c r="I39" t="s">
        <v>1505</v>
      </c>
    </row>
    <row r="40" spans="8:9">
      <c r="H40" t="s">
        <v>1506</v>
      </c>
      <c r="I40" t="s">
        <v>1507</v>
      </c>
    </row>
    <row r="41" spans="8:9">
      <c r="H41" t="s">
        <v>1508</v>
      </c>
      <c r="I41" t="s">
        <v>1509</v>
      </c>
    </row>
    <row r="42" spans="8:9">
      <c r="H42" t="s">
        <v>1510</v>
      </c>
      <c r="I42" t="s">
        <v>1511</v>
      </c>
    </row>
    <row r="43" spans="8:9">
      <c r="H43" t="s">
        <v>1512</v>
      </c>
      <c r="I43" t="s">
        <v>1513</v>
      </c>
    </row>
    <row r="44" spans="8:9">
      <c r="H44" t="s">
        <v>1514</v>
      </c>
      <c r="I44" t="s">
        <v>1515</v>
      </c>
    </row>
    <row r="45" spans="8:9">
      <c r="H45" t="s">
        <v>1516</v>
      </c>
      <c r="I45" t="s">
        <v>1517</v>
      </c>
    </row>
    <row r="46" spans="8:9">
      <c r="H46" t="s">
        <v>1518</v>
      </c>
      <c r="I46" t="s">
        <v>1519</v>
      </c>
    </row>
    <row r="47" spans="8:9">
      <c r="H47" t="s">
        <v>1520</v>
      </c>
      <c r="I47" t="s">
        <v>1521</v>
      </c>
    </row>
    <row r="48" spans="8:9">
      <c r="H48" t="s">
        <v>1522</v>
      </c>
      <c r="I48" t="s">
        <v>1523</v>
      </c>
    </row>
    <row r="49" spans="8:10">
      <c r="H49" t="s">
        <v>1524</v>
      </c>
      <c r="I49" t="s">
        <v>1525</v>
      </c>
    </row>
    <row r="50" spans="8:10">
      <c r="H50" t="s">
        <v>1526</v>
      </c>
      <c r="I50" t="s">
        <v>1527</v>
      </c>
    </row>
    <row r="51" spans="8:10">
      <c r="H51" t="s">
        <v>1528</v>
      </c>
      <c r="I51" t="s">
        <v>1529</v>
      </c>
      <c r="J51" t="s">
        <v>1405</v>
      </c>
    </row>
    <row r="52" spans="8:10">
      <c r="H52" t="s">
        <v>1530</v>
      </c>
      <c r="I52" t="s">
        <v>1531</v>
      </c>
      <c r="J52" t="s">
        <v>1405</v>
      </c>
    </row>
    <row r="53" spans="8:10">
      <c r="H53" t="s">
        <v>1532</v>
      </c>
      <c r="I53" t="s">
        <v>1533</v>
      </c>
      <c r="J53" t="s">
        <v>1405</v>
      </c>
    </row>
    <row r="54" spans="8:10">
      <c r="H54" t="s">
        <v>1534</v>
      </c>
      <c r="I54" t="s">
        <v>1535</v>
      </c>
      <c r="J54" t="s">
        <v>1405</v>
      </c>
    </row>
    <row r="55" spans="8:10">
      <c r="H55" t="s">
        <v>1536</v>
      </c>
      <c r="I55" t="s">
        <v>1537</v>
      </c>
      <c r="J55" t="s">
        <v>1405</v>
      </c>
    </row>
    <row r="56" spans="8:10">
      <c r="H56" t="s">
        <v>1538</v>
      </c>
      <c r="I56" t="s">
        <v>1539</v>
      </c>
      <c r="J56" t="s">
        <v>1405</v>
      </c>
    </row>
    <row r="57" spans="8:10">
      <c r="H57" t="s">
        <v>1540</v>
      </c>
      <c r="I57" t="s">
        <v>1541</v>
      </c>
      <c r="J57" t="s">
        <v>1405</v>
      </c>
    </row>
    <row r="58" spans="8:10">
      <c r="H58" t="s">
        <v>1542</v>
      </c>
      <c r="I58" t="s">
        <v>1543</v>
      </c>
      <c r="J58" t="s">
        <v>1405</v>
      </c>
    </row>
    <row r="59" spans="8:10">
      <c r="H59" t="s">
        <v>1544</v>
      </c>
      <c r="I59" t="s">
        <v>1545</v>
      </c>
      <c r="J59" t="s">
        <v>1405</v>
      </c>
    </row>
    <row r="60" spans="8:10">
      <c r="H60" t="s">
        <v>1546</v>
      </c>
      <c r="I60" t="s">
        <v>1547</v>
      </c>
      <c r="J60" t="s">
        <v>1405</v>
      </c>
    </row>
    <row r="61" spans="8:10">
      <c r="H61" t="s">
        <v>1548</v>
      </c>
      <c r="I61" t="s">
        <v>1549</v>
      </c>
      <c r="J61" t="s">
        <v>1403</v>
      </c>
    </row>
    <row r="62" spans="8:10">
      <c r="H62" t="s">
        <v>1550</v>
      </c>
      <c r="I62" t="s">
        <v>1551</v>
      </c>
      <c r="J62" t="s">
        <v>1403</v>
      </c>
    </row>
    <row r="63" spans="8:10">
      <c r="H63" t="s">
        <v>1552</v>
      </c>
      <c r="I63" t="s">
        <v>1553</v>
      </c>
      <c r="J63" t="s">
        <v>1403</v>
      </c>
    </row>
    <row r="64" spans="8:10">
      <c r="H64" t="s">
        <v>1554</v>
      </c>
      <c r="I64" t="s">
        <v>1555</v>
      </c>
      <c r="J64" t="s">
        <v>1403</v>
      </c>
    </row>
    <row r="65" spans="8:10">
      <c r="H65" t="s">
        <v>1556</v>
      </c>
      <c r="I65" t="s">
        <v>1557</v>
      </c>
      <c r="J65" t="s">
        <v>1403</v>
      </c>
    </row>
    <row r="66" spans="8:10">
      <c r="H66" t="s">
        <v>1558</v>
      </c>
      <c r="I66" t="s">
        <v>1559</v>
      </c>
      <c r="J66" t="s">
        <v>1403</v>
      </c>
    </row>
    <row r="67" spans="8:10">
      <c r="H67" t="s">
        <v>1560</v>
      </c>
      <c r="I67" t="s">
        <v>1561</v>
      </c>
      <c r="J67" t="s">
        <v>1403</v>
      </c>
    </row>
    <row r="68" spans="8:10">
      <c r="H68" t="s">
        <v>1562</v>
      </c>
      <c r="I68" t="s">
        <v>1563</v>
      </c>
      <c r="J68" t="s">
        <v>1403</v>
      </c>
    </row>
    <row r="69" spans="8:10">
      <c r="H69" t="s">
        <v>1564</v>
      </c>
      <c r="I69" t="s">
        <v>1565</v>
      </c>
      <c r="J69" t="s">
        <v>1403</v>
      </c>
    </row>
  </sheetData>
  <mergeCells count="3">
    <mergeCell ref="A1:B1"/>
    <mergeCell ref="D1:F1"/>
    <mergeCell ref="H1:J1"/>
  </mergeCells>
  <phoneticPr fontId="4" type="noConversion"/>
  <pageMargins left="0.511811024" right="0.511811024" top="0.78740157499999996" bottom="0.78740157499999996" header="0.31496062000000002" footer="0.31496062000000002"/>
  <ignoredErrors>
    <ignoredError sqref="J51:J60 J61:J69" calculatedColumn="1"/>
  </ignoredErrors>
  <tableParts count="3">
    <tablePart r:id="rId1"/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024CE-F69C-406B-BF9B-13DDA31653B6}">
  <dimension ref="B1:W12"/>
  <sheetViews>
    <sheetView showGridLines="0" zoomScale="90" zoomScaleNormal="90" workbookViewId="0">
      <selection activeCell="N28" sqref="N28"/>
    </sheetView>
  </sheetViews>
  <sheetFormatPr defaultRowHeight="15"/>
  <cols>
    <col min="2" max="2" width="6.7109375" bestFit="1" customWidth="1"/>
    <col min="3" max="3" width="40.42578125" bestFit="1" customWidth="1"/>
    <col min="5" max="5" width="7.42578125" bestFit="1" customWidth="1"/>
    <col min="6" max="6" width="27.5703125" bestFit="1" customWidth="1"/>
    <col min="7" max="7" width="10.28515625" customWidth="1"/>
    <col min="10" max="10" width="26.28515625" bestFit="1" customWidth="1"/>
    <col min="11" max="11" width="7.42578125" bestFit="1" customWidth="1"/>
    <col min="13" max="13" width="7.7109375" bestFit="1" customWidth="1"/>
    <col min="14" max="14" width="30.28515625" customWidth="1"/>
    <col min="15" max="15" width="11.140625" customWidth="1"/>
    <col min="18" max="18" width="26" bestFit="1" customWidth="1"/>
    <col min="19" max="19" width="8.7109375" customWidth="1"/>
    <col min="22" max="22" width="28" customWidth="1"/>
    <col min="23" max="23" width="7.42578125" bestFit="1" customWidth="1"/>
    <col min="25" max="25" width="7.42578125" bestFit="1" customWidth="1"/>
    <col min="26" max="26" width="16.28515625" bestFit="1" customWidth="1"/>
    <col min="28" max="28" width="17.7109375" customWidth="1"/>
    <col min="29" max="29" width="10.28515625" customWidth="1"/>
  </cols>
  <sheetData>
    <row r="1" spans="2:23" ht="19.5" customHeight="1"/>
    <row r="2" spans="2:23">
      <c r="B2" t="s">
        <v>1</v>
      </c>
      <c r="C2" t="s">
        <v>1566</v>
      </c>
      <c r="E2" t="s">
        <v>1</v>
      </c>
      <c r="F2" t="s">
        <v>1567</v>
      </c>
      <c r="G2" t="s">
        <v>4</v>
      </c>
      <c r="I2" t="s">
        <v>1</v>
      </c>
      <c r="J2" t="s">
        <v>1406</v>
      </c>
      <c r="K2" t="s">
        <v>4</v>
      </c>
      <c r="M2" t="s">
        <v>1</v>
      </c>
      <c r="N2" t="s">
        <v>1404</v>
      </c>
      <c r="O2" t="s">
        <v>4</v>
      </c>
      <c r="Q2" t="s">
        <v>1</v>
      </c>
      <c r="R2" t="s">
        <v>1408</v>
      </c>
      <c r="S2" t="s">
        <v>4</v>
      </c>
      <c r="U2" t="s">
        <v>1</v>
      </c>
      <c r="V2" t="s">
        <v>1410</v>
      </c>
      <c r="W2" t="s">
        <v>4</v>
      </c>
    </row>
    <row r="3" spans="2:23">
      <c r="B3" t="s">
        <v>1417</v>
      </c>
      <c r="C3" t="s">
        <v>1568</v>
      </c>
      <c r="E3" t="s">
        <v>1425</v>
      </c>
      <c r="F3" t="s">
        <v>1569</v>
      </c>
      <c r="I3" t="s">
        <v>1425</v>
      </c>
      <c r="J3" t="s">
        <v>1529</v>
      </c>
      <c r="K3" t="s">
        <v>1405</v>
      </c>
      <c r="M3" t="s">
        <v>1431</v>
      </c>
      <c r="N3" t="s">
        <v>1570</v>
      </c>
      <c r="Q3" t="s">
        <v>1571</v>
      </c>
      <c r="R3" t="s">
        <v>1572</v>
      </c>
      <c r="U3" t="s">
        <v>1573</v>
      </c>
      <c r="V3" t="s">
        <v>1574</v>
      </c>
    </row>
    <row r="4" spans="2:23">
      <c r="B4" t="s">
        <v>1419</v>
      </c>
      <c r="C4" t="s">
        <v>1575</v>
      </c>
      <c r="I4" t="s">
        <v>1427</v>
      </c>
      <c r="J4" t="s">
        <v>1531</v>
      </c>
      <c r="K4" t="s">
        <v>1405</v>
      </c>
      <c r="M4" t="s">
        <v>1576</v>
      </c>
      <c r="N4" t="s">
        <v>1577</v>
      </c>
      <c r="Q4" t="s">
        <v>1578</v>
      </c>
      <c r="R4" t="s">
        <v>1579</v>
      </c>
      <c r="U4" t="s">
        <v>1580</v>
      </c>
      <c r="V4" t="s">
        <v>1581</v>
      </c>
    </row>
    <row r="5" spans="2:23">
      <c r="B5" t="s">
        <v>1421</v>
      </c>
      <c r="C5" t="s">
        <v>1582</v>
      </c>
      <c r="I5" t="s">
        <v>1429</v>
      </c>
      <c r="J5" t="s">
        <v>1533</v>
      </c>
      <c r="K5" t="s">
        <v>1405</v>
      </c>
      <c r="M5" t="s">
        <v>1583</v>
      </c>
      <c r="N5" t="s">
        <v>1584</v>
      </c>
      <c r="Q5" t="s">
        <v>1585</v>
      </c>
      <c r="R5" t="s">
        <v>1586</v>
      </c>
      <c r="U5" t="s">
        <v>1587</v>
      </c>
      <c r="V5" t="s">
        <v>1588</v>
      </c>
    </row>
    <row r="6" spans="2:23">
      <c r="B6" t="s">
        <v>1423</v>
      </c>
      <c r="C6" t="s">
        <v>1408</v>
      </c>
      <c r="I6" t="s">
        <v>1589</v>
      </c>
      <c r="J6" t="s">
        <v>1535</v>
      </c>
      <c r="K6" t="s">
        <v>1405</v>
      </c>
      <c r="M6" t="s">
        <v>1590</v>
      </c>
      <c r="N6" t="s">
        <v>1591</v>
      </c>
      <c r="Q6" t="s">
        <v>1592</v>
      </c>
      <c r="R6" t="s">
        <v>1593</v>
      </c>
      <c r="U6" t="s">
        <v>1594</v>
      </c>
      <c r="V6" t="s">
        <v>1595</v>
      </c>
    </row>
    <row r="7" spans="2:23">
      <c r="B7" t="s">
        <v>1596</v>
      </c>
      <c r="C7" t="s">
        <v>1410</v>
      </c>
      <c r="I7" t="s">
        <v>1597</v>
      </c>
      <c r="J7" t="s">
        <v>1537</v>
      </c>
      <c r="K7" t="s">
        <v>1405</v>
      </c>
      <c r="M7" t="s">
        <v>1598</v>
      </c>
      <c r="N7" t="s">
        <v>1599</v>
      </c>
      <c r="Q7" t="s">
        <v>1600</v>
      </c>
      <c r="R7" t="s">
        <v>1601</v>
      </c>
      <c r="U7" t="s">
        <v>1602</v>
      </c>
      <c r="V7" t="s">
        <v>1603</v>
      </c>
    </row>
    <row r="8" spans="2:23">
      <c r="I8" t="s">
        <v>1604</v>
      </c>
      <c r="J8" t="s">
        <v>1539</v>
      </c>
      <c r="K8" t="s">
        <v>1405</v>
      </c>
      <c r="M8" t="s">
        <v>1605</v>
      </c>
      <c r="N8" t="s">
        <v>1606</v>
      </c>
      <c r="Q8" t="s">
        <v>1607</v>
      </c>
      <c r="R8" t="s">
        <v>1608</v>
      </c>
      <c r="U8" t="s">
        <v>1609</v>
      </c>
      <c r="V8" t="s">
        <v>1610</v>
      </c>
    </row>
    <row r="9" spans="2:23">
      <c r="I9" t="s">
        <v>1611</v>
      </c>
      <c r="J9" t="s">
        <v>1541</v>
      </c>
      <c r="K9" t="s">
        <v>1405</v>
      </c>
      <c r="M9" t="s">
        <v>1612</v>
      </c>
      <c r="N9" t="s">
        <v>1613</v>
      </c>
    </row>
    <row r="10" spans="2:23">
      <c r="I10" t="s">
        <v>1614</v>
      </c>
      <c r="J10" t="s">
        <v>1543</v>
      </c>
      <c r="K10" t="s">
        <v>1405</v>
      </c>
      <c r="M10" t="s">
        <v>1615</v>
      </c>
      <c r="N10" t="s">
        <v>1616</v>
      </c>
    </row>
    <row r="11" spans="2:23">
      <c r="I11" t="s">
        <v>1617</v>
      </c>
      <c r="J11" t="s">
        <v>1545</v>
      </c>
      <c r="K11" t="s">
        <v>1405</v>
      </c>
      <c r="M11" t="s">
        <v>1618</v>
      </c>
      <c r="N11" t="s">
        <v>1619</v>
      </c>
    </row>
    <row r="12" spans="2:23">
      <c r="I12" t="s">
        <v>1620</v>
      </c>
      <c r="J12" t="s">
        <v>1547</v>
      </c>
      <c r="K12" t="s">
        <v>1405</v>
      </c>
    </row>
  </sheetData>
  <phoneticPr fontId="4" type="noConversion"/>
  <pageMargins left="0.511811024" right="0.511811024" top="0.78740157499999996" bottom="0.78740157499999996" header="0.31496062000000002" footer="0.31496062000000002"/>
  <tableParts count="6">
    <tablePart r:id="rId1"/>
    <tablePart r:id="rId2"/>
    <tablePart r:id="rId3"/>
    <tablePart r:id="rId4"/>
    <tablePart r:id="rId5"/>
    <tablePart r:id="rId6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referencias"/>
  <dimension ref="A1:B13"/>
  <sheetViews>
    <sheetView workbookViewId="0">
      <selection activeCell="H6" sqref="H6"/>
    </sheetView>
  </sheetViews>
  <sheetFormatPr defaultRowHeight="15"/>
  <cols>
    <col min="1" max="1" width="14.7109375" bestFit="1" customWidth="1"/>
    <col min="2" max="2" width="17.85546875" bestFit="1" customWidth="1"/>
  </cols>
  <sheetData>
    <row r="1" spans="1:2">
      <c r="A1" t="s">
        <v>1621</v>
      </c>
      <c r="B1" t="s">
        <v>1622</v>
      </c>
    </row>
    <row r="2" spans="1:2">
      <c r="A2" t="s">
        <v>0</v>
      </c>
      <c r="B2" t="s">
        <v>0</v>
      </c>
    </row>
    <row r="3" spans="1:2">
      <c r="A3" t="s">
        <v>22</v>
      </c>
      <c r="B3" t="s">
        <v>22</v>
      </c>
    </row>
    <row r="4" spans="1:2">
      <c r="A4" t="s">
        <v>1204</v>
      </c>
      <c r="B4" t="s">
        <v>1204</v>
      </c>
    </row>
    <row r="5" spans="1:2">
      <c r="A5" t="s">
        <v>13</v>
      </c>
      <c r="B5" t="s">
        <v>13</v>
      </c>
    </row>
    <row r="6" spans="1:2">
      <c r="A6" t="s">
        <v>1210</v>
      </c>
      <c r="B6" t="s">
        <v>1210</v>
      </c>
    </row>
    <row r="7" spans="1:2">
      <c r="A7" t="s">
        <v>1197</v>
      </c>
      <c r="B7" t="s">
        <v>1197</v>
      </c>
    </row>
    <row r="8" spans="1:2">
      <c r="A8" t="s">
        <v>1227</v>
      </c>
      <c r="B8" t="s">
        <v>1227</v>
      </c>
    </row>
    <row r="9" spans="1:2">
      <c r="A9" t="s">
        <v>1623</v>
      </c>
      <c r="B9" t="s">
        <v>1252</v>
      </c>
    </row>
    <row r="10" spans="1:2">
      <c r="A10" t="s">
        <v>1624</v>
      </c>
      <c r="B10" t="s">
        <v>1367</v>
      </c>
    </row>
    <row r="11" spans="1:2">
      <c r="A11" t="s">
        <v>1248</v>
      </c>
      <c r="B11" t="s">
        <v>1248</v>
      </c>
    </row>
    <row r="12" spans="1:2">
      <c r="A12" t="s">
        <v>1625</v>
      </c>
      <c r="B12" t="s">
        <v>1391</v>
      </c>
    </row>
    <row r="13" spans="1:2">
      <c r="A13" t="s">
        <v>1626</v>
      </c>
      <c r="B13" t="s">
        <v>1626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A1E60-3E2B-4E60-8810-970E3BF49C98}">
  <dimension ref="A1:S102"/>
  <sheetViews>
    <sheetView workbookViewId="0">
      <selection activeCell="A19" sqref="A19"/>
    </sheetView>
  </sheetViews>
  <sheetFormatPr defaultRowHeight="15"/>
  <cols>
    <col min="1" max="1" width="19.7109375" customWidth="1"/>
    <col min="2" max="2" width="10.5703125" customWidth="1"/>
    <col min="11" max="11" width="26.7109375" bestFit="1" customWidth="1"/>
    <col min="17" max="17" width="31" customWidth="1"/>
  </cols>
  <sheetData>
    <row r="1" spans="1:19">
      <c r="A1" s="38" t="s">
        <v>1627</v>
      </c>
      <c r="B1" s="38"/>
    </row>
    <row r="2" spans="1:19">
      <c r="A2" s="2" t="s">
        <v>1628</v>
      </c>
      <c r="B2" s="2" t="s">
        <v>1629</v>
      </c>
      <c r="J2" s="8" t="s">
        <v>1629</v>
      </c>
      <c r="K2" s="8" t="s">
        <v>1630</v>
      </c>
      <c r="L2" s="8" t="s">
        <v>1631</v>
      </c>
      <c r="M2" s="8" t="s">
        <v>1632</v>
      </c>
      <c r="P2" s="8" t="s">
        <v>1629</v>
      </c>
      <c r="Q2" s="8" t="s">
        <v>1630</v>
      </c>
      <c r="R2" s="8" t="s">
        <v>1631</v>
      </c>
      <c r="S2" s="8" t="s">
        <v>1632</v>
      </c>
    </row>
    <row r="3" spans="1:19">
      <c r="A3" t="s">
        <v>1633</v>
      </c>
      <c r="B3">
        <v>1</v>
      </c>
      <c r="J3" s="8">
        <v>1</v>
      </c>
      <c r="K3" s="8" t="s">
        <v>1634</v>
      </c>
      <c r="L3" s="8" t="s">
        <v>1635</v>
      </c>
      <c r="M3" s="8" t="s">
        <v>1636</v>
      </c>
      <c r="P3" s="8">
        <v>1</v>
      </c>
      <c r="Q3" s="8" t="s">
        <v>1637</v>
      </c>
      <c r="R3" s="8" t="s">
        <v>1638</v>
      </c>
      <c r="S3" s="8" t="s">
        <v>1636</v>
      </c>
    </row>
    <row r="4" spans="1:19">
      <c r="A4" t="s">
        <v>1639</v>
      </c>
      <c r="B4">
        <v>1</v>
      </c>
      <c r="J4" s="8">
        <v>2</v>
      </c>
      <c r="K4" s="8" t="s">
        <v>1640</v>
      </c>
      <c r="L4" s="8" t="s">
        <v>1641</v>
      </c>
      <c r="M4" s="8" t="s">
        <v>1636</v>
      </c>
      <c r="P4" s="8">
        <v>2</v>
      </c>
      <c r="Q4" s="8" t="s">
        <v>1642</v>
      </c>
      <c r="R4" s="8" t="s">
        <v>1643</v>
      </c>
      <c r="S4" s="8" t="s">
        <v>1636</v>
      </c>
    </row>
    <row r="5" spans="1:19">
      <c r="A5" t="s">
        <v>1644</v>
      </c>
      <c r="B5">
        <v>1</v>
      </c>
      <c r="J5" s="8">
        <v>3</v>
      </c>
      <c r="K5" s="9" t="s">
        <v>1645</v>
      </c>
      <c r="L5" s="8"/>
      <c r="M5" s="9" t="s">
        <v>1646</v>
      </c>
      <c r="P5" s="8">
        <v>3</v>
      </c>
      <c r="Q5" s="9" t="s">
        <v>1647</v>
      </c>
      <c r="R5" s="8"/>
      <c r="S5" s="9" t="s">
        <v>1646</v>
      </c>
    </row>
    <row r="6" spans="1:19" ht="15" customHeight="1">
      <c r="A6" t="s">
        <v>1648</v>
      </c>
      <c r="B6">
        <v>1</v>
      </c>
      <c r="J6" s="8">
        <v>4</v>
      </c>
      <c r="K6" s="8" t="s">
        <v>1649</v>
      </c>
      <c r="L6" s="8" t="s">
        <v>1641</v>
      </c>
      <c r="M6" s="8" t="s">
        <v>1636</v>
      </c>
      <c r="P6" s="8">
        <v>4</v>
      </c>
      <c r="Q6" s="10" t="s">
        <v>1650</v>
      </c>
      <c r="R6" s="8" t="s">
        <v>1643</v>
      </c>
      <c r="S6" s="8" t="s">
        <v>1636</v>
      </c>
    </row>
    <row r="7" spans="1:19">
      <c r="A7" t="s">
        <v>1651</v>
      </c>
      <c r="B7">
        <v>1</v>
      </c>
      <c r="J7" s="8">
        <v>5</v>
      </c>
      <c r="K7" s="8" t="s">
        <v>1652</v>
      </c>
      <c r="L7" s="8" t="s">
        <v>1641</v>
      </c>
      <c r="M7" s="8" t="s">
        <v>1636</v>
      </c>
      <c r="P7" s="8">
        <v>5</v>
      </c>
      <c r="Q7" s="9" t="s">
        <v>1653</v>
      </c>
      <c r="R7" s="8"/>
      <c r="S7" s="9" t="s">
        <v>1646</v>
      </c>
    </row>
    <row r="8" spans="1:19">
      <c r="A8" t="s">
        <v>1654</v>
      </c>
      <c r="B8">
        <v>2</v>
      </c>
      <c r="J8" s="8">
        <v>6</v>
      </c>
      <c r="K8" s="8" t="s">
        <v>1655</v>
      </c>
      <c r="L8" s="8" t="s">
        <v>1641</v>
      </c>
      <c r="M8" s="8" t="s">
        <v>1636</v>
      </c>
      <c r="P8" s="8">
        <v>6</v>
      </c>
      <c r="Q8" s="8" t="s">
        <v>1656</v>
      </c>
      <c r="R8" s="8" t="s">
        <v>1643</v>
      </c>
      <c r="S8" s="8" t="s">
        <v>1636</v>
      </c>
    </row>
    <row r="9" spans="1:19">
      <c r="A9" t="s">
        <v>1657</v>
      </c>
      <c r="B9">
        <v>6</v>
      </c>
      <c r="J9" s="8">
        <v>7</v>
      </c>
      <c r="K9" s="8" t="s">
        <v>1658</v>
      </c>
      <c r="L9" s="8" t="s">
        <v>1641</v>
      </c>
      <c r="M9" s="8" t="s">
        <v>1636</v>
      </c>
      <c r="P9" s="8">
        <v>7</v>
      </c>
      <c r="Q9" s="8" t="s">
        <v>1659</v>
      </c>
      <c r="R9" s="8" t="s">
        <v>1643</v>
      </c>
      <c r="S9" s="8" t="s">
        <v>1636</v>
      </c>
    </row>
    <row r="10" spans="1:19">
      <c r="A10" t="s">
        <v>1660</v>
      </c>
      <c r="B10">
        <v>6</v>
      </c>
      <c r="J10" s="8">
        <v>8</v>
      </c>
      <c r="K10" s="8" t="s">
        <v>1661</v>
      </c>
      <c r="L10" s="8" t="s">
        <v>1641</v>
      </c>
      <c r="M10" s="8" t="s">
        <v>1636</v>
      </c>
      <c r="P10" s="8">
        <v>8</v>
      </c>
      <c r="Q10" s="8" t="s">
        <v>1662</v>
      </c>
      <c r="R10" s="8" t="s">
        <v>1643</v>
      </c>
      <c r="S10" s="8" t="s">
        <v>1636</v>
      </c>
    </row>
    <row r="11" spans="1:19">
      <c r="A11" t="s">
        <v>1663</v>
      </c>
      <c r="B11">
        <v>6</v>
      </c>
      <c r="J11" s="8">
        <v>9</v>
      </c>
      <c r="K11" s="8" t="s">
        <v>1664</v>
      </c>
      <c r="L11" s="8" t="s">
        <v>1641</v>
      </c>
      <c r="M11" s="8" t="s">
        <v>1636</v>
      </c>
      <c r="P11" s="8">
        <v>9</v>
      </c>
      <c r="Q11" s="9" t="s">
        <v>1665</v>
      </c>
      <c r="R11" s="8"/>
      <c r="S11" s="9" t="s">
        <v>1646</v>
      </c>
    </row>
    <row r="12" spans="1:19">
      <c r="A12" t="s">
        <v>1666</v>
      </c>
      <c r="B12">
        <v>6</v>
      </c>
      <c r="J12" s="8">
        <v>10</v>
      </c>
      <c r="K12" s="8" t="s">
        <v>1667</v>
      </c>
      <c r="L12" s="8" t="s">
        <v>1641</v>
      </c>
      <c r="M12" s="8" t="s">
        <v>1636</v>
      </c>
      <c r="P12" s="8">
        <v>10</v>
      </c>
      <c r="Q12" s="8" t="s">
        <v>1668</v>
      </c>
      <c r="R12" s="8" t="s">
        <v>1643</v>
      </c>
      <c r="S12" s="8" t="s">
        <v>1636</v>
      </c>
    </row>
    <row r="13" spans="1:19">
      <c r="A13" t="s">
        <v>1669</v>
      </c>
      <c r="B13">
        <v>7</v>
      </c>
      <c r="J13" s="8">
        <v>11</v>
      </c>
      <c r="K13" s="8" t="s">
        <v>1670</v>
      </c>
      <c r="L13" s="8" t="s">
        <v>1641</v>
      </c>
      <c r="M13" s="8" t="s">
        <v>1636</v>
      </c>
      <c r="P13" s="8">
        <v>11</v>
      </c>
      <c r="Q13" s="9" t="s">
        <v>1671</v>
      </c>
      <c r="R13" s="8"/>
      <c r="S13" s="9" t="s">
        <v>1646</v>
      </c>
    </row>
    <row r="14" spans="1:19">
      <c r="A14" t="s">
        <v>1672</v>
      </c>
      <c r="B14">
        <v>7</v>
      </c>
      <c r="J14" s="8">
        <v>12</v>
      </c>
      <c r="K14" s="9" t="s">
        <v>1673</v>
      </c>
      <c r="L14" s="8"/>
      <c r="M14" s="9" t="s">
        <v>1646</v>
      </c>
    </row>
    <row r="15" spans="1:19">
      <c r="A15" t="s">
        <v>1674</v>
      </c>
      <c r="B15">
        <v>7</v>
      </c>
      <c r="J15" s="8">
        <v>13</v>
      </c>
      <c r="K15" s="8" t="s">
        <v>1675</v>
      </c>
      <c r="L15" s="8" t="s">
        <v>1641</v>
      </c>
      <c r="M15" s="8" t="s">
        <v>1636</v>
      </c>
    </row>
    <row r="16" spans="1:19">
      <c r="A16" t="s">
        <v>1676</v>
      </c>
      <c r="B16">
        <v>6</v>
      </c>
      <c r="J16" s="8">
        <v>14</v>
      </c>
      <c r="K16" s="9" t="s">
        <v>1677</v>
      </c>
      <c r="L16" s="8"/>
      <c r="M16" s="9" t="s">
        <v>1646</v>
      </c>
    </row>
    <row r="17" spans="1:13">
      <c r="A17" t="s">
        <v>1678</v>
      </c>
      <c r="B17">
        <v>6</v>
      </c>
      <c r="J17" s="8">
        <v>17</v>
      </c>
      <c r="K17" s="9" t="s">
        <v>1679</v>
      </c>
      <c r="L17" s="8"/>
      <c r="M17" s="9" t="s">
        <v>1646</v>
      </c>
    </row>
    <row r="18" spans="1:13">
      <c r="A18" t="s">
        <v>1680</v>
      </c>
      <c r="B18">
        <v>8</v>
      </c>
      <c r="J18" s="8">
        <v>18</v>
      </c>
      <c r="K18" s="8" t="s">
        <v>1681</v>
      </c>
      <c r="L18" s="8" t="s">
        <v>1641</v>
      </c>
      <c r="M18" s="8" t="s">
        <v>1636</v>
      </c>
    </row>
    <row r="19" spans="1:13">
      <c r="A19" t="s">
        <v>1682</v>
      </c>
      <c r="B19">
        <v>8</v>
      </c>
      <c r="J19" s="8">
        <v>19</v>
      </c>
      <c r="K19" s="9" t="s">
        <v>1683</v>
      </c>
      <c r="L19" s="8"/>
      <c r="M19" s="9" t="s">
        <v>1646</v>
      </c>
    </row>
    <row r="20" spans="1:13">
      <c r="A20" t="s">
        <v>1684</v>
      </c>
      <c r="B20">
        <v>6</v>
      </c>
    </row>
    <row r="21" spans="1:13">
      <c r="A21" t="s">
        <v>1685</v>
      </c>
      <c r="B21">
        <v>4</v>
      </c>
    </row>
    <row r="22" spans="1:13">
      <c r="A22" t="s">
        <v>1686</v>
      </c>
      <c r="B22">
        <v>4</v>
      </c>
    </row>
    <row r="23" spans="1:13">
      <c r="A23" t="s">
        <v>1687</v>
      </c>
      <c r="B23">
        <v>4</v>
      </c>
    </row>
    <row r="24" spans="1:13">
      <c r="A24" t="s">
        <v>1688</v>
      </c>
      <c r="B24">
        <v>4</v>
      </c>
    </row>
    <row r="25" spans="1:13">
      <c r="A25" t="s">
        <v>1689</v>
      </c>
      <c r="B25">
        <v>4</v>
      </c>
    </row>
    <row r="26" spans="1:13">
      <c r="A26" t="s">
        <v>1690</v>
      </c>
      <c r="B26">
        <v>4</v>
      </c>
    </row>
    <row r="27" spans="1:13">
      <c r="A27" t="s">
        <v>1691</v>
      </c>
      <c r="B27">
        <v>4</v>
      </c>
    </row>
    <row r="28" spans="1:13">
      <c r="A28" t="s">
        <v>1692</v>
      </c>
      <c r="B28">
        <v>4</v>
      </c>
    </row>
    <row r="29" spans="1:13">
      <c r="A29" t="s">
        <v>1693</v>
      </c>
      <c r="B29">
        <v>5</v>
      </c>
    </row>
    <row r="30" spans="1:13">
      <c r="A30" t="s">
        <v>1694</v>
      </c>
      <c r="B30">
        <v>5</v>
      </c>
    </row>
    <row r="31" spans="1:13">
      <c r="A31" t="s">
        <v>1695</v>
      </c>
      <c r="B31">
        <v>5</v>
      </c>
    </row>
    <row r="32" spans="1:13">
      <c r="A32" t="s">
        <v>1696</v>
      </c>
      <c r="B32">
        <v>5</v>
      </c>
    </row>
    <row r="33" spans="1:2">
      <c r="A33" t="s">
        <v>1697</v>
      </c>
      <c r="B33">
        <v>5</v>
      </c>
    </row>
    <row r="34" spans="1:2">
      <c r="A34" t="s">
        <v>1698</v>
      </c>
      <c r="B34">
        <v>5</v>
      </c>
    </row>
    <row r="35" spans="1:2">
      <c r="A35" t="s">
        <v>1699</v>
      </c>
      <c r="B35">
        <v>5</v>
      </c>
    </row>
    <row r="36" spans="1:2">
      <c r="A36" t="s">
        <v>1700</v>
      </c>
      <c r="B36">
        <v>5</v>
      </c>
    </row>
    <row r="37" spans="1:2">
      <c r="A37" t="s">
        <v>1701</v>
      </c>
      <c r="B37">
        <v>5</v>
      </c>
    </row>
    <row r="38" spans="1:2">
      <c r="A38" t="s">
        <v>1702</v>
      </c>
      <c r="B38">
        <v>5</v>
      </c>
    </row>
    <row r="39" spans="1:2">
      <c r="A39" t="s">
        <v>1703</v>
      </c>
      <c r="B39">
        <v>5</v>
      </c>
    </row>
    <row r="40" spans="1:2">
      <c r="A40" t="s">
        <v>1704</v>
      </c>
      <c r="B40">
        <v>5</v>
      </c>
    </row>
    <row r="41" spans="1:2">
      <c r="A41" t="s">
        <v>1705</v>
      </c>
      <c r="B41">
        <v>5</v>
      </c>
    </row>
    <row r="42" spans="1:2">
      <c r="A42" t="s">
        <v>1706</v>
      </c>
      <c r="B42">
        <v>5</v>
      </c>
    </row>
    <row r="43" spans="1:2">
      <c r="A43" t="s">
        <v>1707</v>
      </c>
      <c r="B43">
        <v>5</v>
      </c>
    </row>
    <row r="44" spans="1:2">
      <c r="A44" t="s">
        <v>1708</v>
      </c>
      <c r="B44">
        <v>5</v>
      </c>
    </row>
    <row r="45" spans="1:2">
      <c r="A45" t="s">
        <v>1709</v>
      </c>
      <c r="B45">
        <v>5</v>
      </c>
    </row>
    <row r="46" spans="1:2">
      <c r="A46" t="s">
        <v>1710</v>
      </c>
      <c r="B46">
        <v>10</v>
      </c>
    </row>
    <row r="47" spans="1:2">
      <c r="A47" t="s">
        <v>1711</v>
      </c>
      <c r="B47">
        <v>10</v>
      </c>
    </row>
    <row r="48" spans="1:2">
      <c r="A48" t="s">
        <v>1712</v>
      </c>
      <c r="B48">
        <v>10</v>
      </c>
    </row>
    <row r="49" spans="1:2">
      <c r="A49" t="s">
        <v>1713</v>
      </c>
      <c r="B49">
        <v>10</v>
      </c>
    </row>
    <row r="50" spans="1:2">
      <c r="A50" t="s">
        <v>1714</v>
      </c>
      <c r="B50">
        <v>10</v>
      </c>
    </row>
    <row r="51" spans="1:2">
      <c r="A51" t="s">
        <v>1715</v>
      </c>
      <c r="B51">
        <v>9</v>
      </c>
    </row>
    <row r="52" spans="1:2">
      <c r="A52" t="s">
        <v>1716</v>
      </c>
      <c r="B52">
        <v>9</v>
      </c>
    </row>
    <row r="53" spans="1:2">
      <c r="A53" t="s">
        <v>1717</v>
      </c>
      <c r="B53">
        <v>10</v>
      </c>
    </row>
    <row r="54" spans="1:2">
      <c r="A54" t="s">
        <v>1718</v>
      </c>
      <c r="B54">
        <v>10</v>
      </c>
    </row>
    <row r="55" spans="1:2">
      <c r="A55" t="s">
        <v>1719</v>
      </c>
      <c r="B55">
        <v>10</v>
      </c>
    </row>
    <row r="56" spans="1:2">
      <c r="A56" t="s">
        <v>1720</v>
      </c>
      <c r="B56">
        <v>10</v>
      </c>
    </row>
    <row r="57" spans="1:2">
      <c r="A57" t="s">
        <v>1721</v>
      </c>
      <c r="B57">
        <v>10</v>
      </c>
    </row>
    <row r="58" spans="1:2">
      <c r="A58" t="s">
        <v>1722</v>
      </c>
      <c r="B58">
        <v>10</v>
      </c>
    </row>
    <row r="59" spans="1:2">
      <c r="A59" t="s">
        <v>1723</v>
      </c>
      <c r="B59">
        <v>13</v>
      </c>
    </row>
    <row r="60" spans="1:2">
      <c r="A60" t="s">
        <v>1724</v>
      </c>
      <c r="B60">
        <v>13</v>
      </c>
    </row>
    <row r="61" spans="1:2">
      <c r="A61" t="s">
        <v>1725</v>
      </c>
      <c r="B61">
        <v>13</v>
      </c>
    </row>
    <row r="62" spans="1:2">
      <c r="A62" t="s">
        <v>1726</v>
      </c>
      <c r="B62">
        <v>13</v>
      </c>
    </row>
    <row r="63" spans="1:2">
      <c r="A63" t="s">
        <v>1727</v>
      </c>
      <c r="B63">
        <v>13</v>
      </c>
    </row>
    <row r="64" spans="1:2">
      <c r="A64" t="s">
        <v>1728</v>
      </c>
      <c r="B64">
        <v>13</v>
      </c>
    </row>
    <row r="65" spans="1:2">
      <c r="A65" t="s">
        <v>1729</v>
      </c>
      <c r="B65">
        <v>13</v>
      </c>
    </row>
    <row r="66" spans="1:2">
      <c r="A66" t="s">
        <v>1730</v>
      </c>
      <c r="B66">
        <v>13</v>
      </c>
    </row>
    <row r="67" spans="1:2">
      <c r="A67" t="s">
        <v>1731</v>
      </c>
      <c r="B67">
        <v>13</v>
      </c>
    </row>
    <row r="68" spans="1:2">
      <c r="A68" t="s">
        <v>1732</v>
      </c>
      <c r="B68">
        <v>13</v>
      </c>
    </row>
    <row r="69" spans="1:2">
      <c r="A69" t="s">
        <v>1733</v>
      </c>
      <c r="B69">
        <v>13</v>
      </c>
    </row>
    <row r="70" spans="1:2">
      <c r="A70" t="s">
        <v>1734</v>
      </c>
      <c r="B70">
        <v>13</v>
      </c>
    </row>
    <row r="71" spans="1:2">
      <c r="A71" t="s">
        <v>1735</v>
      </c>
      <c r="B71">
        <v>13</v>
      </c>
    </row>
    <row r="72" spans="1:2">
      <c r="A72" t="s">
        <v>1736</v>
      </c>
      <c r="B72">
        <v>13</v>
      </c>
    </row>
    <row r="73" spans="1:2">
      <c r="A73" t="s">
        <v>1737</v>
      </c>
      <c r="B73">
        <v>13</v>
      </c>
    </row>
    <row r="74" spans="1:2">
      <c r="A74" t="s">
        <v>1738</v>
      </c>
      <c r="B74">
        <v>13</v>
      </c>
    </row>
    <row r="75" spans="1:2">
      <c r="A75" t="s">
        <v>1739</v>
      </c>
      <c r="B75">
        <v>13</v>
      </c>
    </row>
    <row r="76" spans="1:2">
      <c r="A76" t="s">
        <v>1740</v>
      </c>
      <c r="B76">
        <v>13</v>
      </c>
    </row>
    <row r="77" spans="1:2">
      <c r="A77" t="s">
        <v>1741</v>
      </c>
      <c r="B77">
        <v>13</v>
      </c>
    </row>
    <row r="78" spans="1:2">
      <c r="A78" t="s">
        <v>1742</v>
      </c>
      <c r="B78">
        <v>13</v>
      </c>
    </row>
    <row r="79" spans="1:2">
      <c r="A79" t="s">
        <v>1743</v>
      </c>
      <c r="B79">
        <v>13</v>
      </c>
    </row>
    <row r="80" spans="1:2">
      <c r="A80" t="s">
        <v>1744</v>
      </c>
      <c r="B80">
        <v>13</v>
      </c>
    </row>
    <row r="81" spans="1:2">
      <c r="A81" t="s">
        <v>1745</v>
      </c>
      <c r="B81">
        <v>18</v>
      </c>
    </row>
    <row r="82" spans="1:2">
      <c r="A82" t="s">
        <v>1746</v>
      </c>
      <c r="B82">
        <v>18</v>
      </c>
    </row>
    <row r="83" spans="1:2">
      <c r="A83" t="s">
        <v>1747</v>
      </c>
      <c r="B83">
        <v>18</v>
      </c>
    </row>
    <row r="84" spans="1:2">
      <c r="A84" t="s">
        <v>1748</v>
      </c>
      <c r="B84">
        <v>13</v>
      </c>
    </row>
    <row r="85" spans="1:2">
      <c r="A85" t="s">
        <v>1749</v>
      </c>
      <c r="B85">
        <v>13</v>
      </c>
    </row>
    <row r="86" spans="1:2">
      <c r="A86" t="s">
        <v>1750</v>
      </c>
      <c r="B86">
        <v>15</v>
      </c>
    </row>
    <row r="87" spans="1:2">
      <c r="A87" t="s">
        <v>1751</v>
      </c>
      <c r="B87">
        <v>15</v>
      </c>
    </row>
    <row r="88" spans="1:2">
      <c r="A88" t="s">
        <v>1752</v>
      </c>
      <c r="B88">
        <v>15</v>
      </c>
    </row>
    <row r="89" spans="1:2">
      <c r="A89" t="s">
        <v>1753</v>
      </c>
      <c r="B89">
        <v>15</v>
      </c>
    </row>
    <row r="90" spans="1:2">
      <c r="A90" t="s">
        <v>1754</v>
      </c>
      <c r="B90">
        <v>15</v>
      </c>
    </row>
    <row r="91" spans="1:2">
      <c r="A91" t="s">
        <v>1755</v>
      </c>
      <c r="B91">
        <v>15</v>
      </c>
    </row>
    <row r="92" spans="1:2">
      <c r="A92" t="s">
        <v>1756</v>
      </c>
      <c r="B92">
        <v>15</v>
      </c>
    </row>
    <row r="93" spans="1:2">
      <c r="A93" t="s">
        <v>1757</v>
      </c>
      <c r="B93">
        <v>15</v>
      </c>
    </row>
    <row r="94" spans="1:2">
      <c r="A94" t="s">
        <v>1758</v>
      </c>
      <c r="B94">
        <v>15</v>
      </c>
    </row>
    <row r="95" spans="1:2">
      <c r="A95" t="s">
        <v>1759</v>
      </c>
      <c r="B95">
        <v>15</v>
      </c>
    </row>
    <row r="96" spans="1:2">
      <c r="A96" t="s">
        <v>1760</v>
      </c>
      <c r="B96">
        <v>15</v>
      </c>
    </row>
    <row r="97" spans="1:2">
      <c r="A97" t="s">
        <v>1761</v>
      </c>
      <c r="B97">
        <v>15</v>
      </c>
    </row>
    <row r="98" spans="1:2">
      <c r="A98" t="s">
        <v>1762</v>
      </c>
      <c r="B98">
        <v>15</v>
      </c>
    </row>
    <row r="99" spans="1:2">
      <c r="A99" t="s">
        <v>1763</v>
      </c>
      <c r="B99">
        <v>15</v>
      </c>
    </row>
    <row r="100" spans="1:2">
      <c r="A100" t="s">
        <v>1764</v>
      </c>
      <c r="B100">
        <v>15</v>
      </c>
    </row>
    <row r="101" spans="1:2">
      <c r="A101" t="s">
        <v>1765</v>
      </c>
      <c r="B101">
        <v>15</v>
      </c>
    </row>
    <row r="102" spans="1:2">
      <c r="A102" t="s">
        <v>1766</v>
      </c>
      <c r="B102">
        <v>16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23ED53A17A12A47A961CB52120D70AF" ma:contentTypeVersion="0" ma:contentTypeDescription="Create a new document." ma:contentTypeScope="" ma:versionID="20b7c2801b38b8ae533ac8946646640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3696ba03ea910e4150d24cc23508f283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E15BD43-FC8F-4AFC-A23E-76580D3587FB}"/>
</file>

<file path=customXml/itemProps2.xml><?xml version="1.0" encoding="utf-8"?>
<ds:datastoreItem xmlns:ds="http://schemas.openxmlformats.org/officeDocument/2006/customXml" ds:itemID="{65794E8F-91CC-4D2E-A5E4-CC902B93D2AF}"/>
</file>

<file path=customXml/itemProps3.xml><?xml version="1.0" encoding="utf-8"?>
<ds:datastoreItem xmlns:ds="http://schemas.openxmlformats.org/officeDocument/2006/customXml" ds:itemID="{F72531D8-F359-49E8-82BE-D57D0E4F4055}"/>
</file>

<file path=customXml/itemProps4.xml><?xml version="1.0" encoding="utf-8"?>
<ds:datastoreItem xmlns:ds="http://schemas.openxmlformats.org/officeDocument/2006/customXml" ds:itemID="{841BA8B4-9DDF-4489-BDC9-662195B62E8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Gui Fernandes</dc:creator>
  <cp:keywords/>
  <dc:description/>
  <cp:lastModifiedBy>Consultoria Planatec</cp:lastModifiedBy>
  <cp:revision/>
  <dcterms:created xsi:type="dcterms:W3CDTF">2022-03-20T18:23:20Z</dcterms:created>
  <dcterms:modified xsi:type="dcterms:W3CDTF">2022-11-14T18:51:52Z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0x010100723ED53A17A12A47A961CB52120D70AF</vt:lpwstr>
  </property>
</Properties>
</file>